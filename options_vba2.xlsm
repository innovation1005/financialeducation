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409_option_american\"/>
    </mc:Choice>
  </mc:AlternateContent>
  <xr:revisionPtr revIDLastSave="0" documentId="13_ncr:1_{BBE76473-DF0D-4FCF-9B45-187E6367B93F}" xr6:coauthVersionLast="46" xr6:coauthVersionMax="46" xr10:uidLastSave="{00000000-0000-0000-0000-000000000000}"/>
  <bookViews>
    <workbookView xWindow="-120" yWindow="-120" windowWidth="29040" windowHeight="15840" activeTab="3" xr2:uid="{1EC02C93-1CD2-4052-A89E-EC9DB3F726C0}"/>
  </bookViews>
  <sheets>
    <sheet name="bscall" sheetId="9" r:id="rId1"/>
    <sheet name="mc_call" sheetId="11" r:id="rId2"/>
    <sheet name="BGmcamrcall" sheetId="8" r:id="rId3"/>
    <sheet name="callablecall" sheetId="1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D6" i="11" s="1"/>
  <c r="C5" i="11"/>
  <c r="D5" i="11" s="1"/>
  <c r="C4" i="11"/>
  <c r="D4" i="11" s="1"/>
  <c r="C1" i="11"/>
  <c r="D1" i="11" s="1"/>
  <c r="C3" i="11"/>
  <c r="D3" i="11" s="1"/>
  <c r="C2" i="11"/>
  <c r="D2" i="11" s="1"/>
  <c r="C13" i="11" a="1"/>
  <c r="B17" i="11" a="1"/>
  <c r="C12" i="11" a="1"/>
  <c r="B13" i="11" a="1"/>
  <c r="C20" i="11" a="1"/>
  <c r="B19" i="11" a="1"/>
  <c r="C16" i="11" a="1"/>
  <c r="B15" i="11" a="1"/>
  <c r="B16" i="11" a="1"/>
  <c r="C17" i="11" a="1"/>
  <c r="D19" i="11" a="1"/>
  <c r="D18" i="11" a="1"/>
  <c r="D13" i="11" a="1"/>
  <c r="D17" i="11" a="1"/>
  <c r="D12" i="11" a="1"/>
  <c r="C21" i="11" a="1"/>
  <c r="B18" i="11" a="1"/>
  <c r="C18" i="11" a="1"/>
  <c r="B12" i="11" a="1"/>
  <c r="D14" i="11" a="1"/>
  <c r="C19" i="11" a="1"/>
  <c r="D20" i="11" a="1"/>
  <c r="C15" i="11" a="1"/>
  <c r="D16" i="11" a="1"/>
  <c r="C14" i="11" a="1"/>
  <c r="D15" i="11" a="1"/>
  <c r="B21" i="11" a="1"/>
  <c r="D21" i="11" a="1"/>
  <c r="B14" i="11" a="1"/>
  <c r="B20" i="11" a="1"/>
  <c r="D14" i="11" l="1"/>
  <c r="B14" i="11"/>
  <c r="C18" i="11"/>
  <c r="D12" i="11"/>
  <c r="D8" i="11" s="1"/>
  <c r="D16" i="11"/>
  <c r="D20" i="11"/>
  <c r="B18" i="11"/>
  <c r="D18" i="11"/>
  <c r="C20" i="11"/>
  <c r="B13" i="11"/>
  <c r="B15" i="11"/>
  <c r="B17" i="11"/>
  <c r="B19" i="11"/>
  <c r="B21" i="11"/>
  <c r="B20" i="11"/>
  <c r="C14" i="11"/>
  <c r="C15" i="11"/>
  <c r="C19" i="11"/>
  <c r="D13" i="11"/>
  <c r="D19" i="11"/>
  <c r="B16" i="11"/>
  <c r="C12" i="11"/>
  <c r="C16" i="11"/>
  <c r="C13" i="11"/>
  <c r="C17" i="11"/>
  <c r="C21" i="11"/>
  <c r="D15" i="11"/>
  <c r="D17" i="11"/>
  <c r="D21" i="11"/>
  <c r="B12" i="11"/>
  <c r="B8" i="11" l="1"/>
  <c r="C8" i="11"/>
  <c r="D9" i="11"/>
  <c r="C9" i="11"/>
  <c r="B9" i="11"/>
  <c r="D11" i="10" a="1"/>
  <c r="E11" i="10" a="1"/>
  <c r="B11" i="10" a="1"/>
  <c r="C11" i="10" a="1"/>
  <c r="B10" i="8" a="1"/>
  <c r="B7" i="9" a="1"/>
  <c r="B7" i="9" l="1"/>
  <c r="B10" i="8"/>
  <c r="C11" i="10"/>
  <c r="B11" i="10"/>
  <c r="E11" i="10"/>
  <c r="D11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<sst xmlns="http://schemas.openxmlformats.org/spreadsheetml/2006/main" count="37" uniqueCount="16">
  <si>
    <t>BSCALL</t>
    <phoneticPr fontId="1"/>
  </si>
  <si>
    <t>k</t>
    <phoneticPr fontId="1"/>
  </si>
  <si>
    <t>t</t>
    <phoneticPr fontId="1"/>
  </si>
  <si>
    <t>s</t>
    <phoneticPr fontId="1"/>
  </si>
  <si>
    <t>r</t>
    <phoneticPr fontId="1"/>
  </si>
  <si>
    <t>b</t>
    <phoneticPr fontId="1"/>
  </si>
  <si>
    <t>v</t>
    <phoneticPr fontId="1"/>
  </si>
  <si>
    <t>m</t>
    <phoneticPr fontId="1"/>
  </si>
  <si>
    <t>branches</t>
    <phoneticPr fontId="1"/>
  </si>
  <si>
    <t>n</t>
    <phoneticPr fontId="1"/>
  </si>
  <si>
    <t>Bgmcamrcall</t>
    <phoneticPr fontId="1"/>
  </si>
  <si>
    <t>callablecall</t>
    <phoneticPr fontId="1"/>
  </si>
  <si>
    <t>h</t>
    <phoneticPr fontId="1"/>
  </si>
  <si>
    <t>mm</t>
    <phoneticPr fontId="1"/>
  </si>
  <si>
    <t>call average</t>
    <phoneticPr fontId="1"/>
  </si>
  <si>
    <t>call std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</si>
</sst>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11</xdr:row>
      <xdr:rowOff>57150</xdr:rowOff>
    </xdr:from>
    <xdr:to>
      <xdr:col>4</xdr:col>
      <xdr:colOff>226694</xdr:colOff>
      <xdr:row>20</xdr:row>
      <xdr:rowOff>95250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7334DDD2-F97D-446E-A11B-AA2EB3F8F5D2}"/>
            </a:ext>
          </a:extLst>
        </xdr:cNvPr>
        <xdr:cNvSpPr/>
      </xdr:nvSpPr>
      <xdr:spPr>
        <a:xfrm>
          <a:off x="2619375" y="1733550"/>
          <a:ext cx="45719" cy="14097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400049</xdr:colOff>
      <xdr:row>15</xdr:row>
      <xdr:rowOff>9525</xdr:rowOff>
    </xdr:from>
    <xdr:to>
      <xdr:col>6</xdr:col>
      <xdr:colOff>466724</xdr:colOff>
      <xdr:row>17</xdr:row>
      <xdr:rowOff>38100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58DE167-128E-4000-B385-F397B7EB5185}"/>
            </a:ext>
          </a:extLst>
        </xdr:cNvPr>
        <xdr:cNvSpPr txBox="1"/>
      </xdr:nvSpPr>
      <xdr:spPr>
        <a:xfrm>
          <a:off x="2838449" y="2295525"/>
          <a:ext cx="1285875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10</a:t>
          </a:r>
          <a:r>
            <a:rPr kumimoji="1" lang="ja-JP" altLang="en-US" sz="1100"/>
            <a:t>回の繰り返し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3DDDD-9A71-4217-A996-CFB3D1B6B30B}">
  <sheetPr codeName="Sheet3"/>
  <dimension ref="A1:B7"/>
  <sheetViews>
    <sheetView workbookViewId="0">
      <selection activeCell="B7" sqref="B7"/>
    </sheetView>
  </sheetViews>
  <sheetFormatPr defaultRowHeight="12" x14ac:dyDescent="0.15"/>
  <sheetData>
    <row r="1" spans="1:2" x14ac:dyDescent="0.15">
      <c r="A1" t="s">
        <v>3</v>
      </c>
      <c r="B1">
        <v>100</v>
      </c>
    </row>
    <row r="2" spans="1:2" x14ac:dyDescent="0.15">
      <c r="A2" t="s">
        <v>1</v>
      </c>
      <c r="B2">
        <v>105</v>
      </c>
    </row>
    <row r="3" spans="1:2" x14ac:dyDescent="0.15">
      <c r="A3" t="s">
        <v>2</v>
      </c>
      <c r="B3">
        <v>0.5</v>
      </c>
    </row>
    <row r="4" spans="1:2" x14ac:dyDescent="0.15">
      <c r="A4" t="s">
        <v>4</v>
      </c>
      <c r="B4">
        <v>0.08</v>
      </c>
    </row>
    <row r="5" spans="1:2" x14ac:dyDescent="0.15">
      <c r="A5" t="s">
        <v>5</v>
      </c>
      <c r="B5">
        <v>0.08</v>
      </c>
    </row>
    <row r="6" spans="1:2" x14ac:dyDescent="0.15">
      <c r="A6" t="s">
        <v>6</v>
      </c>
      <c r="B6">
        <v>0.3</v>
      </c>
    </row>
    <row r="7" spans="1:2" x14ac:dyDescent="0.15">
      <c r="A7" t="s">
        <v>0</v>
      </c>
      <c r="B7" cm="1">
        <f t="array" ref="B7">bscall(B1,B2,B3,B4,B5,B6)</f>
        <v>8.0501016057820678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B02C-98BF-4B7E-A375-29B2CC6CF7F2}">
  <sheetPr codeName="Sheet5"/>
  <dimension ref="A1:D21"/>
  <sheetViews>
    <sheetView workbookViewId="0">
      <selection activeCell="D7" sqref="D7"/>
    </sheetView>
  </sheetViews>
  <sheetFormatPr defaultRowHeight="12" x14ac:dyDescent="0.15"/>
  <sheetData>
    <row r="1" spans="1:4" x14ac:dyDescent="0.15">
      <c r="A1" t="s">
        <v>3</v>
      </c>
      <c r="B1">
        <v>100</v>
      </c>
      <c r="C1">
        <f>+B1</f>
        <v>100</v>
      </c>
      <c r="D1">
        <f t="shared" ref="D1" si="0">+C1</f>
        <v>100</v>
      </c>
    </row>
    <row r="2" spans="1:4" x14ac:dyDescent="0.15">
      <c r="A2" t="s">
        <v>1</v>
      </c>
      <c r="B2">
        <v>100</v>
      </c>
      <c r="C2">
        <f>+B2</f>
        <v>100</v>
      </c>
      <c r="D2">
        <f t="shared" ref="D2" si="1">+C2</f>
        <v>100</v>
      </c>
    </row>
    <row r="3" spans="1:4" x14ac:dyDescent="0.15">
      <c r="A3" t="s">
        <v>2</v>
      </c>
      <c r="B3">
        <v>1</v>
      </c>
      <c r="C3">
        <f>+B3</f>
        <v>1</v>
      </c>
      <c r="D3">
        <f t="shared" ref="D3" si="2">+C3</f>
        <v>1</v>
      </c>
    </row>
    <row r="4" spans="1:4" x14ac:dyDescent="0.15">
      <c r="A4" t="s">
        <v>4</v>
      </c>
      <c r="B4">
        <v>0</v>
      </c>
      <c r="C4">
        <f t="shared" ref="C4:D4" si="3">+B4</f>
        <v>0</v>
      </c>
      <c r="D4">
        <f t="shared" si="3"/>
        <v>0</v>
      </c>
    </row>
    <row r="5" spans="1:4" x14ac:dyDescent="0.15">
      <c r="A5" t="s">
        <v>5</v>
      </c>
      <c r="B5">
        <v>0</v>
      </c>
      <c r="C5">
        <f t="shared" ref="C5:D5" si="4">+B5</f>
        <v>0</v>
      </c>
      <c r="D5">
        <f t="shared" si="4"/>
        <v>0</v>
      </c>
    </row>
    <row r="6" spans="1:4" x14ac:dyDescent="0.15">
      <c r="A6" t="s">
        <v>6</v>
      </c>
      <c r="B6">
        <v>0.1</v>
      </c>
      <c r="C6">
        <f t="shared" ref="C6:D6" si="5">+B6</f>
        <v>0.1</v>
      </c>
      <c r="D6">
        <f t="shared" si="5"/>
        <v>0.1</v>
      </c>
    </row>
    <row r="7" spans="1:4" x14ac:dyDescent="0.15">
      <c r="A7" t="s">
        <v>9</v>
      </c>
      <c r="B7">
        <v>1000</v>
      </c>
      <c r="C7">
        <v>10000</v>
      </c>
      <c r="D7">
        <v>100000</v>
      </c>
    </row>
    <row r="8" spans="1:4" x14ac:dyDescent="0.15">
      <c r="A8" t="s">
        <v>14</v>
      </c>
      <c r="B8">
        <f>AVERAGE(B12:B20)</f>
        <v>4.0684974879940983</v>
      </c>
      <c r="C8">
        <f t="shared" ref="C8:D8" si="6">AVERAGE(C12:C20)</f>
        <v>3.9956679524537639</v>
      </c>
      <c r="D8">
        <f t="shared" si="6"/>
        <v>3.9786452390290288</v>
      </c>
    </row>
    <row r="9" spans="1:4" x14ac:dyDescent="0.15">
      <c r="A9" t="s">
        <v>15</v>
      </c>
      <c r="B9">
        <f>STDEV(B12:B21)</f>
        <v>0.23805336719872761</v>
      </c>
      <c r="C9">
        <f t="shared" ref="C9:D9" si="7">STDEV(C12:C21)</f>
        <v>5.5188121117562577E-2</v>
      </c>
      <c r="D9">
        <f t="shared" si="7"/>
        <v>1.4832078769090868E-2</v>
      </c>
    </row>
    <row r="12" spans="1:4" x14ac:dyDescent="0.15">
      <c r="B12" cm="1">
        <f t="array" ref="B12">mc_call(B$1,B$2,B$3,B$4,B$5,B$6,B$7)</f>
        <v>3.8254739471398462</v>
      </c>
      <c r="C12" cm="1">
        <f t="array" ref="C12">mc_call(C$1,C$2,C$3,C$4,C$5,C$6,C$7)</f>
        <v>4.0343872303282868</v>
      </c>
      <c r="D12" cm="1">
        <f t="array" ref="D12">mc_call(D$1,D$2,D$3,D$4,D$5,D$6,D$7)</f>
        <v>4.0045793089027955</v>
      </c>
    </row>
    <row r="13" spans="1:4" x14ac:dyDescent="0.15">
      <c r="B13" cm="1">
        <f t="array" ref="B13">mc_call(B$1,B$2,B$3,B$4,B$5,B$6,B$7)</f>
        <v>3.9070602870023392</v>
      </c>
      <c r="C13" cm="1">
        <f t="array" ref="C13">mc_call(C$1,C$2,C$3,C$4,C$5,C$6,C$7)</f>
        <v>4.0198613694110197</v>
      </c>
      <c r="D13" cm="1">
        <f t="array" ref="D13">mc_call(D$1,D$2,D$3,D$4,D$5,D$6,D$7)</f>
        <v>3.98901555745659</v>
      </c>
    </row>
    <row r="14" spans="1:4" x14ac:dyDescent="0.15">
      <c r="B14" cm="1">
        <f t="array" ref="B14">mc_call(B$1,B$2,B$3,B$4,B$5,B$6,B$7)</f>
        <v>4.3098713822458175</v>
      </c>
      <c r="C14" cm="1">
        <f t="array" ref="C14">mc_call(C$1,C$2,C$3,C$4,C$5,C$6,C$7)</f>
        <v>3.9354317139463442</v>
      </c>
      <c r="D14" cm="1">
        <f t="array" ref="D14">mc_call(D$1,D$2,D$3,D$4,D$5,D$6,D$7)</f>
        <v>3.9667698855647417</v>
      </c>
    </row>
    <row r="15" spans="1:4" x14ac:dyDescent="0.15">
      <c r="B15" cm="1">
        <f t="array" ref="B15">mc_call(B$1,B$2,B$3,B$4,B$5,B$6,B$7)</f>
        <v>3.7688920453582861</v>
      </c>
      <c r="C15" cm="1">
        <f t="array" ref="C15">mc_call(C$1,C$2,C$3,C$4,C$5,C$6,C$7)</f>
        <v>3.9118764424765193</v>
      </c>
      <c r="D15" cm="1">
        <f t="array" ref="D15">mc_call(D$1,D$2,D$3,D$4,D$5,D$6,D$7)</f>
        <v>3.9627466510264364</v>
      </c>
    </row>
    <row r="16" spans="1:4" x14ac:dyDescent="0.15">
      <c r="B16" cm="1">
        <f t="array" ref="B16">mc_call(B$1,B$2,B$3,B$4,B$5,B$6,B$7)</f>
        <v>4.0385224254605854</v>
      </c>
      <c r="C16" cm="1">
        <f t="array" ref="C16">mc_call(C$1,C$2,C$3,C$4,C$5,C$6,C$7)</f>
        <v>3.9874575628219695</v>
      </c>
      <c r="D16" cm="1">
        <f t="array" ref="D16">mc_call(D$1,D$2,D$3,D$4,D$5,D$6,D$7)</f>
        <v>3.9656694943128521</v>
      </c>
    </row>
    <row r="17" spans="2:4" x14ac:dyDescent="0.15">
      <c r="B17" cm="1">
        <f t="array" ref="B17">mc_call(B$1,B$2,B$3,B$4,B$5,B$6,B$7)</f>
        <v>4.1886453222670612</v>
      </c>
      <c r="C17" cm="1">
        <f t="array" ref="C17">mc_call(C$1,C$2,C$3,C$4,C$5,C$6,C$7)</f>
        <v>3.9699525708971857</v>
      </c>
      <c r="D17" cm="1">
        <f t="array" ref="D17">mc_call(D$1,D$2,D$3,D$4,D$5,D$6,D$7)</f>
        <v>3.9861341286739691</v>
      </c>
    </row>
    <row r="18" spans="2:4" x14ac:dyDescent="0.15">
      <c r="B18" cm="1">
        <f t="array" ref="B18">mc_call(B$1,B$2,B$3,B$4,B$5,B$6,B$7)</f>
        <v>4.1266292679612855</v>
      </c>
      <c r="C18" cm="1">
        <f t="array" ref="C18">mc_call(C$1,C$2,C$3,C$4,C$5,C$6,C$7)</f>
        <v>4.1084658929283631</v>
      </c>
      <c r="D18" cm="1">
        <f t="array" ref="D18">mc_call(D$1,D$2,D$3,D$4,D$5,D$6,D$7)</f>
        <v>3.9638971125568867</v>
      </c>
    </row>
    <row r="19" spans="2:4" x14ac:dyDescent="0.15">
      <c r="B19" cm="1">
        <f t="array" ref="B19">mc_call(B$1,B$2,B$3,B$4,B$5,B$6,B$7)</f>
        <v>3.9660011300316063</v>
      </c>
      <c r="C19" cm="1">
        <f t="array" ref="C19">mc_call(C$1,C$2,C$3,C$4,C$5,C$6,C$7)</f>
        <v>3.9964675754118604</v>
      </c>
      <c r="D19" cm="1">
        <f t="array" ref="D19">mc_call(D$1,D$2,D$3,D$4,D$5,D$6,D$7)</f>
        <v>3.9799523785831723</v>
      </c>
    </row>
    <row r="20" spans="2:4" x14ac:dyDescent="0.15">
      <c r="B20" cm="1">
        <f t="array" ref="B20">mc_call(B$1,B$2,B$3,B$4,B$5,B$6,B$7)</f>
        <v>4.4853815844800646</v>
      </c>
      <c r="C20" cm="1">
        <f t="array" ref="C20">mc_call(C$1,C$2,C$3,C$4,C$5,C$6,C$7)</f>
        <v>3.9971112138623277</v>
      </c>
      <c r="D20" cm="1">
        <f t="array" ref="D20">mc_call(D$1,D$2,D$3,D$4,D$5,D$6,D$7)</f>
        <v>3.9890426341838157</v>
      </c>
    </row>
    <row r="21" spans="2:4" x14ac:dyDescent="0.15">
      <c r="B21" cm="1">
        <f t="array" ref="B21">mc_call(B$1,B$2,B$3,B$4,B$5,B$6,B$7)</f>
        <v>3.7820124723684674</v>
      </c>
      <c r="C21" cm="1">
        <f t="array" ref="C21">mc_call(C$1,C$2,C$3,C$4,C$5,C$6,C$7)</f>
        <v>3.958807196248626</v>
      </c>
      <c r="D21" cm="1">
        <f t="array" ref="D21">mc_call(D$1,D$2,D$3,D$4,D$5,D$6,D$7)</f>
        <v>3.9618381192639571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98A57-D734-470D-AB00-EEDDBD08D608}">
  <sheetPr codeName="Sheet2"/>
  <dimension ref="A1:B10"/>
  <sheetViews>
    <sheetView workbookViewId="0">
      <selection activeCell="B4" sqref="B4"/>
    </sheetView>
  </sheetViews>
  <sheetFormatPr defaultRowHeight="12" x14ac:dyDescent="0.15"/>
  <cols>
    <col min="1" max="1" width="13.42578125" customWidth="1"/>
  </cols>
  <sheetData>
    <row r="1" spans="1:2" x14ac:dyDescent="0.15">
      <c r="A1" t="s">
        <v>3</v>
      </c>
      <c r="B1">
        <v>100</v>
      </c>
    </row>
    <row r="2" spans="1:2" x14ac:dyDescent="0.15">
      <c r="A2" t="s">
        <v>1</v>
      </c>
      <c r="B2">
        <v>100</v>
      </c>
    </row>
    <row r="3" spans="1:2" x14ac:dyDescent="0.15">
      <c r="A3" t="s">
        <v>2</v>
      </c>
      <c r="B3">
        <v>1</v>
      </c>
    </row>
    <row r="4" spans="1:2" x14ac:dyDescent="0.15">
      <c r="A4" t="s">
        <v>4</v>
      </c>
      <c r="B4">
        <v>0</v>
      </c>
    </row>
    <row r="5" spans="1:2" x14ac:dyDescent="0.15">
      <c r="A5" t="s">
        <v>5</v>
      </c>
      <c r="B5">
        <v>0</v>
      </c>
    </row>
    <row r="6" spans="1:2" x14ac:dyDescent="0.15">
      <c r="A6" t="s">
        <v>6</v>
      </c>
      <c r="B6">
        <v>0.1</v>
      </c>
    </row>
    <row r="7" spans="1:2" x14ac:dyDescent="0.15">
      <c r="A7" t="s">
        <v>7</v>
      </c>
      <c r="B7">
        <v>2</v>
      </c>
    </row>
    <row r="8" spans="1:2" x14ac:dyDescent="0.15">
      <c r="A8" t="s">
        <v>8</v>
      </c>
      <c r="B8">
        <v>20</v>
      </c>
    </row>
    <row r="9" spans="1:2" x14ac:dyDescent="0.15">
      <c r="A9" t="s">
        <v>9</v>
      </c>
      <c r="B9">
        <v>1000</v>
      </c>
    </row>
    <row r="10" spans="1:2" x14ac:dyDescent="0.15">
      <c r="A10" t="s">
        <v>10</v>
      </c>
      <c r="B10" cm="1">
        <f t="array" ref="B10">bgmcamrcall(B1,B2,B3,B4,B5,B6,B7,B8,B9)</f>
        <v>3.9806862486481753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FBF9-928C-40CF-B873-E220C50D5029}">
  <sheetPr codeName="Sheet4"/>
  <dimension ref="A1:E11"/>
  <sheetViews>
    <sheetView tabSelected="1" workbookViewId="0">
      <selection activeCell="D12" sqref="D12"/>
    </sheetView>
  </sheetViews>
  <sheetFormatPr defaultRowHeight="12" x14ac:dyDescent="0.15"/>
  <cols>
    <col min="1" max="1" width="14.28515625" customWidth="1"/>
    <col min="2" max="3" width="9.7109375" bestFit="1" customWidth="1"/>
  </cols>
  <sheetData>
    <row r="1" spans="1:5" x14ac:dyDescent="0.15">
      <c r="A1" t="s">
        <v>3</v>
      </c>
      <c r="B1">
        <v>100</v>
      </c>
      <c r="C1">
        <v>100</v>
      </c>
      <c r="D1">
        <v>100</v>
      </c>
      <c r="E1">
        <v>100</v>
      </c>
    </row>
    <row r="2" spans="1:5" x14ac:dyDescent="0.15">
      <c r="A2" t="s">
        <v>1</v>
      </c>
      <c r="B2">
        <v>100</v>
      </c>
      <c r="C2">
        <v>100</v>
      </c>
      <c r="D2">
        <v>100</v>
      </c>
      <c r="E2">
        <v>100</v>
      </c>
    </row>
    <row r="3" spans="1:5" x14ac:dyDescent="0.15">
      <c r="A3" t="s">
        <v>12</v>
      </c>
      <c r="B3">
        <v>105</v>
      </c>
      <c r="C3">
        <v>105</v>
      </c>
      <c r="D3">
        <v>105</v>
      </c>
      <c r="E3">
        <v>105</v>
      </c>
    </row>
    <row r="4" spans="1:5" x14ac:dyDescent="0.15">
      <c r="A4" t="s">
        <v>2</v>
      </c>
      <c r="B4">
        <v>1</v>
      </c>
      <c r="C4">
        <v>1</v>
      </c>
      <c r="D4">
        <v>1</v>
      </c>
      <c r="E4">
        <v>1</v>
      </c>
    </row>
    <row r="5" spans="1:5" x14ac:dyDescent="0.15">
      <c r="A5" t="s">
        <v>4</v>
      </c>
      <c r="B5">
        <v>0</v>
      </c>
      <c r="C5">
        <v>0</v>
      </c>
      <c r="D5">
        <v>0</v>
      </c>
      <c r="E5">
        <v>0</v>
      </c>
    </row>
    <row r="6" spans="1:5" x14ac:dyDescent="0.15">
      <c r="A6" t="s">
        <v>5</v>
      </c>
      <c r="B6">
        <v>0</v>
      </c>
      <c r="C6">
        <v>0</v>
      </c>
      <c r="D6">
        <v>0</v>
      </c>
      <c r="E6">
        <v>0</v>
      </c>
    </row>
    <row r="7" spans="1:5" x14ac:dyDescent="0.15">
      <c r="A7" t="s">
        <v>6</v>
      </c>
      <c r="B7">
        <v>0.1</v>
      </c>
      <c r="C7">
        <v>0.2</v>
      </c>
      <c r="D7">
        <v>0.1</v>
      </c>
      <c r="E7">
        <v>0.2</v>
      </c>
    </row>
    <row r="8" spans="1:5" x14ac:dyDescent="0.15">
      <c r="A8" t="s">
        <v>7</v>
      </c>
      <c r="B8">
        <v>250</v>
      </c>
      <c r="C8">
        <v>250</v>
      </c>
      <c r="D8">
        <v>250</v>
      </c>
      <c r="E8">
        <v>250</v>
      </c>
    </row>
    <row r="9" spans="1:5" x14ac:dyDescent="0.15">
      <c r="A9" t="s">
        <v>13</v>
      </c>
      <c r="B9">
        <v>1</v>
      </c>
      <c r="C9">
        <v>1</v>
      </c>
      <c r="D9">
        <v>10</v>
      </c>
      <c r="E9">
        <v>10</v>
      </c>
    </row>
    <row r="10" spans="1:5" x14ac:dyDescent="0.15">
      <c r="A10" t="s">
        <v>9</v>
      </c>
      <c r="B10">
        <v>1000</v>
      </c>
      <c r="C10">
        <v>1000</v>
      </c>
      <c r="D10">
        <v>1000</v>
      </c>
      <c r="E10">
        <v>1000</v>
      </c>
    </row>
    <row r="11" spans="1:5" x14ac:dyDescent="0.15">
      <c r="A11" t="s">
        <v>11</v>
      </c>
      <c r="B11" cm="1">
        <f t="array" ref="B11">callablecall(B1,B2,B3,B4,B5,B6,B7,B8,B9,B10)</f>
        <v>3.2065603931986941</v>
      </c>
      <c r="C11" cm="1">
        <f t="array" ref="C11">callablecall(C1,C2,C3,C4,C5,C6,C7,C8,C9,C10)</f>
        <v>4.4790240137271162</v>
      </c>
      <c r="D11" cm="1">
        <f t="array" ref="D11">callablecall(D1,D2,D3,D4,D5,D6,D7,D8,D9,D10)</f>
        <v>3.5304893092991625</v>
      </c>
      <c r="E11" cm="1">
        <f t="array" ref="E11">callablecall(E1,E2,E3,E4,E5,E6,E7,E8,E9,E10)</f>
        <v>5.958932634393979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bscall</vt:lpstr>
      <vt:lpstr>mc_call</vt:lpstr>
      <vt:lpstr>BGmcamrcall</vt:lpstr>
      <vt:lpstr>callablecall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2021-04-03T14:40:39Z</dcterms:created>
  <dcterms:modified xsi:type="dcterms:W3CDTF">2021-04-09T01:28:46Z</dcterms:modified>
</cp:coreProperties>
</file>