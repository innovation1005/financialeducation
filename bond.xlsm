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m201\Documents\Python Scripts\kinyu\20240314_convertible_bonds&amp;classstock\"/>
    </mc:Choice>
  </mc:AlternateContent>
  <xr:revisionPtr revIDLastSave="0" documentId="13_ncr:1_{5E2CE503-30FE-4427-B7F5-2B8ECBEB54E6}" xr6:coauthVersionLast="47" xr6:coauthVersionMax="47" xr10:uidLastSave="{00000000-0000-0000-0000-000000000000}"/>
  <bookViews>
    <workbookView xWindow="-98" yWindow="-98" windowWidth="21795" windowHeight="12975" firstSheet="2" activeTab="6" xr2:uid="{1C95FBD8-1012-4768-842E-35E74574B5AA}"/>
  </bookViews>
  <sheets>
    <sheet name="ゼロレート" sheetId="7" r:id="rId1"/>
    <sheet name="債券の価格付け" sheetId="1" r:id="rId2"/>
    <sheet name="トレジャリーゼロレート" sheetId="8" r:id="rId3"/>
    <sheet name="転換社債HULL Model" sheetId="3" r:id="rId4"/>
    <sheet name="転換社債 Hull model 2" sheetId="6" r:id="rId5"/>
    <sheet name="Sheet3" sheetId="9" r:id="rId6"/>
    <sheet name="Sheet4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8" l="1"/>
  <c r="D13" i="8"/>
  <c r="D12" i="8"/>
  <c r="C14" i="8"/>
  <c r="C13" i="8"/>
  <c r="C12" i="8"/>
  <c r="B14" i="8"/>
  <c r="B13" i="8"/>
  <c r="B12" i="8"/>
  <c r="G4" i="8"/>
  <c r="I5" i="8"/>
  <c r="H5" i="8"/>
  <c r="K5" i="8" s="1"/>
  <c r="D5" i="8"/>
  <c r="G5" i="8" s="1"/>
  <c r="F5" i="8" s="1"/>
  <c r="F4" i="8"/>
  <c r="K4" i="8"/>
  <c r="H4" i="8"/>
  <c r="D4" i="8"/>
  <c r="I2" i="8"/>
  <c r="J2" i="8" s="1"/>
  <c r="D3" i="8"/>
  <c r="F3" i="8" s="1"/>
  <c r="F4" i="1"/>
  <c r="F3" i="1"/>
  <c r="F2" i="1"/>
  <c r="B20" i="7"/>
  <c r="B13" i="7"/>
  <c r="B6" i="7"/>
  <c r="G10" i="3"/>
  <c r="I8" i="3"/>
  <c r="K14" i="3"/>
  <c r="K6" i="3"/>
  <c r="C15" i="6"/>
  <c r="C17" i="6"/>
  <c r="C22" i="6"/>
  <c r="C25" i="6" a="1"/>
  <c r="C25" i="6" l="1"/>
  <c r="I12" i="3"/>
  <c r="G14" i="3" s="1"/>
  <c r="I16" i="3"/>
  <c r="K18" i="3"/>
  <c r="K10" i="3"/>
  <c r="C23" i="6"/>
  <c r="C20" i="6"/>
  <c r="K22" i="3"/>
  <c r="I22" i="3"/>
  <c r="G22" i="3"/>
  <c r="C17" i="3"/>
  <c r="G21" i="3"/>
  <c r="I21" i="3"/>
  <c r="K21" i="3"/>
  <c r="C22" i="3"/>
  <c r="G9" i="3"/>
  <c r="E11" i="3"/>
  <c r="C20" i="3"/>
  <c r="C16" i="3"/>
  <c r="C15" i="3"/>
  <c r="F6" i="1"/>
  <c r="B5" i="1"/>
  <c r="C24" i="3" a="1"/>
  <c r="C24" i="3" l="1"/>
  <c r="C16" i="6"/>
  <c r="C19" i="3"/>
  <c r="I11" i="3"/>
  <c r="K13" i="3" s="1"/>
  <c r="I7" i="3"/>
  <c r="G13" i="3"/>
  <c r="I15" i="3" s="1"/>
  <c r="K17" i="3" s="1"/>
  <c r="C18" i="3"/>
  <c r="C19" i="6" l="1"/>
  <c r="C18" i="6"/>
  <c r="C21" i="6" s="1"/>
  <c r="C21" i="3"/>
  <c r="K9" i="3"/>
  <c r="K5" i="3"/>
  <c r="E1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<sst xmlns="http://schemas.openxmlformats.org/spreadsheetml/2006/main" count="103" uniqueCount="54">
  <si>
    <t>額面</t>
    <rPh sb="0" eb="2">
      <t>ガクメン</t>
    </rPh>
    <phoneticPr fontId="1"/>
  </si>
  <si>
    <t>年率</t>
    <rPh sb="0" eb="2">
      <t>ネンリツ</t>
    </rPh>
    <phoneticPr fontId="1"/>
  </si>
  <si>
    <t>満期での受取金額</t>
    <rPh sb="0" eb="2">
      <t>マンキ</t>
    </rPh>
    <rPh sb="4" eb="8">
      <t>ウケトリキンガク</t>
    </rPh>
    <phoneticPr fontId="1"/>
  </si>
  <si>
    <t>満期</t>
    <rPh sb="0" eb="2">
      <t>マンキ</t>
    </rPh>
    <phoneticPr fontId="1"/>
  </si>
  <si>
    <t>ゼロレート</t>
    <phoneticPr fontId="1"/>
  </si>
  <si>
    <t>債券元本(A)</t>
    <rPh sb="0" eb="4">
      <t>サイケンガンポン</t>
    </rPh>
    <phoneticPr fontId="1"/>
  </si>
  <si>
    <t>満期(T)</t>
    <rPh sb="0" eb="2">
      <t>マンキ</t>
    </rPh>
    <phoneticPr fontId="1"/>
  </si>
  <si>
    <t>年クーポン(C)</t>
    <rPh sb="0" eb="1">
      <t>ネン</t>
    </rPh>
    <phoneticPr fontId="1"/>
  </si>
  <si>
    <t>ゼロレート(rz)</t>
    <phoneticPr fontId="1"/>
  </si>
  <si>
    <t>債券価格(Pt)</t>
    <rPh sb="0" eb="4">
      <t>サイケンカカク</t>
    </rPh>
    <phoneticPr fontId="1"/>
  </si>
  <si>
    <t>満期前のキャッシュフローの現在価値</t>
    <rPh sb="0" eb="3">
      <t>マンキマエ</t>
    </rPh>
    <rPh sb="13" eb="17">
      <t>ゲンザイカチ</t>
    </rPh>
    <phoneticPr fontId="1"/>
  </si>
  <si>
    <t>合計(X)</t>
    <rPh sb="0" eb="2">
      <t>ゴウケイ</t>
    </rPh>
    <phoneticPr fontId="1"/>
  </si>
  <si>
    <t>(Y)</t>
    <phoneticPr fontId="1"/>
  </si>
  <si>
    <t>パラメータ</t>
    <phoneticPr fontId="1"/>
  </si>
  <si>
    <t>t</t>
    <phoneticPr fontId="1"/>
  </si>
  <si>
    <t>K</t>
    <phoneticPr fontId="1"/>
  </si>
  <si>
    <t>S0</t>
    <phoneticPr fontId="1"/>
  </si>
  <si>
    <t>Vol</t>
    <phoneticPr fontId="1"/>
  </si>
  <si>
    <t>lambda</t>
    <phoneticPr fontId="1"/>
  </si>
  <si>
    <t>r</t>
    <phoneticPr fontId="1"/>
  </si>
  <si>
    <t>D</t>
    <phoneticPr fontId="1"/>
  </si>
  <si>
    <t>dalta t</t>
    <phoneticPr fontId="1"/>
  </si>
  <si>
    <t>パラメータから推定</t>
    <rPh sb="7" eb="9">
      <t>スイテイ</t>
    </rPh>
    <phoneticPr fontId="1"/>
  </si>
  <si>
    <t>u</t>
    <phoneticPr fontId="1"/>
  </si>
  <si>
    <t>d</t>
    <phoneticPr fontId="1"/>
  </si>
  <si>
    <t>a</t>
    <phoneticPr fontId="1"/>
  </si>
  <si>
    <t>Pu</t>
    <phoneticPr fontId="1"/>
  </si>
  <si>
    <t>Pd</t>
    <phoneticPr fontId="1"/>
  </si>
  <si>
    <t>default prob</t>
    <phoneticPr fontId="1"/>
  </si>
  <si>
    <t>A</t>
    <phoneticPr fontId="1"/>
  </si>
  <si>
    <t>discount</t>
    <phoneticPr fontId="1"/>
  </si>
  <si>
    <t>デフォルト</t>
    <phoneticPr fontId="1"/>
  </si>
  <si>
    <t>　株価</t>
    <rPh sb="1" eb="3">
      <t>カブカ</t>
    </rPh>
    <phoneticPr fontId="1"/>
  </si>
  <si>
    <t>　転換</t>
    <rPh sb="1" eb="3">
      <t>テンカン</t>
    </rPh>
    <phoneticPr fontId="1"/>
  </si>
  <si>
    <t>　転換無し</t>
    <rPh sb="1" eb="3">
      <t>テンカン</t>
    </rPh>
    <rPh sb="3" eb="4">
      <t>ナ</t>
    </rPh>
    <phoneticPr fontId="1"/>
  </si>
  <si>
    <t>　償還</t>
    <rPh sb="1" eb="3">
      <t>ショウカン</t>
    </rPh>
    <phoneticPr fontId="1"/>
  </si>
  <si>
    <t>　倒産</t>
    <rPh sb="1" eb="3">
      <t>トウサン</t>
    </rPh>
    <phoneticPr fontId="1"/>
  </si>
  <si>
    <t>F</t>
    <phoneticPr fontId="1"/>
  </si>
  <si>
    <t>n</t>
    <phoneticPr fontId="1"/>
  </si>
  <si>
    <t>cb value</t>
    <phoneticPr fontId="1"/>
  </si>
  <si>
    <t>conv ratio</t>
    <phoneticPr fontId="1"/>
  </si>
  <si>
    <t>q</t>
    <phoneticPr fontId="1"/>
  </si>
  <si>
    <t>ｄｔ</t>
    <phoneticPr fontId="1"/>
  </si>
  <si>
    <t>年</t>
    <rPh sb="0" eb="1">
      <t>ネン</t>
    </rPh>
    <phoneticPr fontId="1"/>
  </si>
  <si>
    <t>ゼロクーポン債</t>
    <rPh sb="6" eb="7">
      <t>サイ</t>
    </rPh>
    <phoneticPr fontId="1"/>
  </si>
  <si>
    <t>価格</t>
    <rPh sb="0" eb="2">
      <t>カカク</t>
    </rPh>
    <phoneticPr fontId="1"/>
  </si>
  <si>
    <t>年払い</t>
    <rPh sb="0" eb="1">
      <t>トシ</t>
    </rPh>
    <rPh sb="1" eb="2">
      <t>ハラ</t>
    </rPh>
    <phoneticPr fontId="1"/>
  </si>
  <si>
    <t>年度</t>
  </si>
  <si>
    <t>当初格付先の数</t>
  </si>
  <si>
    <t>デフォルト企業数</t>
  </si>
  <si>
    <t>限界デフォルト率</t>
  </si>
  <si>
    <t>累積デフォルト率</t>
  </si>
  <si>
    <t>AAA</t>
    <phoneticPr fontId="1"/>
  </si>
  <si>
    <t>AA＋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</si>
</sst>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color theme="1"/>
      <name val="ＭＳ Ｐゴシック"/>
      <family val="2"/>
      <charset val="128"/>
    </font>
    <font>
      <b/>
      <sz val="12"/>
      <color rgb="FF000000"/>
      <name val="ＭＳ Ｐゴシック"/>
      <family val="3"/>
      <charset val="128"/>
    </font>
    <font>
      <sz val="12"/>
      <color rgb="FF000000"/>
      <name val="ＭＳ Ｐゴシック"/>
      <family val="2"/>
      <charset val="128"/>
    </font>
    <font>
      <sz val="12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 applyAlignment="1">
      <alignment horizontal="left" vertical="center"/>
    </xf>
    <xf numFmtId="0" fontId="0" fillId="4" borderId="0" xfId="0" applyFill="1">
      <alignment vertical="center"/>
    </xf>
    <xf numFmtId="0" fontId="0" fillId="0" borderId="7" xfId="0" applyBorder="1">
      <alignment vertical="center"/>
    </xf>
    <xf numFmtId="2" fontId="0" fillId="0" borderId="7" xfId="0" applyNumberFormat="1" applyBorder="1">
      <alignment vertical="center"/>
    </xf>
    <xf numFmtId="2" fontId="0" fillId="0" borderId="0" xfId="0" applyNumberFormat="1">
      <alignment vertical="center"/>
    </xf>
    <xf numFmtId="2" fontId="0" fillId="6" borderId="6" xfId="0" applyNumberFormat="1" applyFill="1" applyBorder="1">
      <alignment vertical="center"/>
    </xf>
    <xf numFmtId="2" fontId="0" fillId="8" borderId="6" xfId="0" applyNumberFormat="1" applyFill="1" applyBorder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1" borderId="7" xfId="0" applyFill="1" applyBorder="1">
      <alignment vertical="center"/>
    </xf>
    <xf numFmtId="2" fontId="0" fillId="11" borderId="7" xfId="0" applyNumberFormat="1" applyFill="1" applyBorder="1">
      <alignment vertical="center"/>
    </xf>
    <xf numFmtId="2" fontId="0" fillId="11" borderId="0" xfId="0" applyNumberFormat="1" applyFill="1">
      <alignment vertical="center"/>
    </xf>
    <xf numFmtId="2" fontId="0" fillId="5" borderId="6" xfId="0" applyNumberFormat="1" applyFill="1" applyBorder="1">
      <alignment vertical="center"/>
    </xf>
    <xf numFmtId="0" fontId="0" fillId="7" borderId="6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76" fontId="0" fillId="2" borderId="0" xfId="0" applyNumberFormat="1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176" fontId="0" fillId="12" borderId="2" xfId="0" applyNumberFormat="1" applyFill="1" applyBorder="1" applyAlignment="1">
      <alignment horizontal="center" vertical="center"/>
    </xf>
    <xf numFmtId="176" fontId="0" fillId="0" borderId="0" xfId="0" applyNumberFormat="1">
      <alignment vertical="center"/>
    </xf>
    <xf numFmtId="0" fontId="5" fillId="14" borderId="0" xfId="0" applyFont="1" applyFill="1" applyAlignment="1">
      <alignment horizontal="right" vertical="center" wrapText="1"/>
    </xf>
    <xf numFmtId="0" fontId="5" fillId="13" borderId="0" xfId="0" applyFont="1" applyFill="1" applyAlignment="1">
      <alignment horizontal="right" vertical="center" wrapText="1"/>
    </xf>
    <xf numFmtId="40" fontId="5" fillId="14" borderId="0" xfId="1" applyNumberFormat="1" applyFont="1" applyFill="1" applyAlignment="1">
      <alignment horizontal="right" vertical="center" wrapText="1"/>
    </xf>
    <xf numFmtId="40" fontId="5" fillId="13" borderId="0" xfId="1" applyNumberFormat="1" applyFont="1" applyFill="1" applyAlignment="1">
      <alignment horizontal="right" vertical="center" wrapText="1"/>
    </xf>
    <xf numFmtId="0" fontId="5" fillId="15" borderId="0" xfId="0" applyFont="1" applyFill="1" applyAlignment="1">
      <alignment horizontal="right" vertical="center" wrapText="1"/>
    </xf>
    <xf numFmtId="40" fontId="5" fillId="15" borderId="0" xfId="1" applyNumberFormat="1" applyFont="1" applyFill="1" applyAlignment="1">
      <alignment horizontal="right" vertical="center" wrapText="1"/>
    </xf>
    <xf numFmtId="0" fontId="4" fillId="14" borderId="0" xfId="0" applyFont="1" applyFill="1" applyAlignment="1">
      <alignment horizontal="center" vertical="center" wrapText="1"/>
    </xf>
    <xf numFmtId="0" fontId="3" fillId="13" borderId="0" xfId="0" applyFont="1" applyFill="1" applyAlignment="1">
      <alignment horizontal="center" vertical="center" wrapText="1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イールドカーブ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トレジャリーゼロレート!$C$11</c:f>
              <c:strCache>
                <c:ptCount val="1"/>
                <c:pt idx="0">
                  <c:v>年クーポン(C)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トレジャリーゼロレート!$B$12:$B$14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トレジャリーゼロレート!$C$12:$C$14</c:f>
              <c:numCache>
                <c:formatCode>General</c:formatCode>
                <c:ptCount val="3"/>
                <c:pt idx="0">
                  <c:v>0</c:v>
                </c:pt>
                <c:pt idx="1">
                  <c:v>0.03</c:v>
                </c:pt>
                <c:pt idx="2">
                  <c:v>0.05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05-4111-BD18-EB4E40C8704B}"/>
            </c:ext>
          </c:extLst>
        </c:ser>
        <c:ser>
          <c:idx val="1"/>
          <c:order val="1"/>
          <c:tx>
            <c:strRef>
              <c:f>トレジャリーゼロレート!$D$11</c:f>
              <c:strCache>
                <c:ptCount val="1"/>
                <c:pt idx="0">
                  <c:v>ゼロレート(rz)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トレジャリーゼロレート!$B$12:$B$14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トレジャリーゼロレート!$D$12:$D$14</c:f>
              <c:numCache>
                <c:formatCode>0.0000</c:formatCode>
                <c:ptCount val="3"/>
                <c:pt idx="0">
                  <c:v>1.0000000000000113E-2</c:v>
                </c:pt>
                <c:pt idx="1">
                  <c:v>2.0000000000000073E-2</c:v>
                </c:pt>
                <c:pt idx="2">
                  <c:v>2.9999999999999961E-2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05-4111-BD18-EB4E40C87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139583"/>
        <c:axId val="317148703"/>
      </c:scatterChart>
      <c:valAx>
        <c:axId val="317139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7148703"/>
        <c:crosses val="autoZero"/>
        <c:crossBetween val="midCat"/>
      </c:valAx>
      <c:valAx>
        <c:axId val="317148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71395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582491</xdr:colOff>
      <xdr:row>7</xdr:row>
      <xdr:rowOff>26009</xdr:rowOff>
    </xdr:from>
    <xdr:to>
      <xdr:col>11</xdr:col>
      <xdr:colOff>487241</xdr:colOff>
      <xdr:row>24</xdr:row>
      <xdr:rowOff>146171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9E6E8C4-2373-1237-D2D3-0CD69DF3DB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</xdr:row>
      <xdr:rowOff>7620</xdr:rowOff>
    </xdr:from>
    <xdr:to>
      <xdr:col>5</xdr:col>
      <xdr:colOff>601980</xdr:colOff>
      <xdr:row>10</xdr:row>
      <xdr:rowOff>144780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6D5D7748-0FB9-7D20-0F31-2A93C8F9629D}"/>
            </a:ext>
          </a:extLst>
        </xdr:cNvPr>
        <xdr:cNvCxnSpPr/>
      </xdr:nvCxnSpPr>
      <xdr:spPr>
        <a:xfrm flipV="1">
          <a:off x="3230880" y="1402080"/>
          <a:ext cx="601980" cy="2971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601980</xdr:colOff>
      <xdr:row>11</xdr:row>
      <xdr:rowOff>0</xdr:rowOff>
    </xdr:from>
    <xdr:to>
      <xdr:col>5</xdr:col>
      <xdr:colOff>594360</xdr:colOff>
      <xdr:row>13</xdr:row>
      <xdr:rowOff>7620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7BF77F07-EB91-215B-01EA-0366735D4963}"/>
            </a:ext>
          </a:extLst>
        </xdr:cNvPr>
        <xdr:cNvCxnSpPr/>
      </xdr:nvCxnSpPr>
      <xdr:spPr>
        <a:xfrm>
          <a:off x="3223260" y="1706880"/>
          <a:ext cx="601980" cy="3200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15240</xdr:colOff>
      <xdr:row>7</xdr:row>
      <xdr:rowOff>15240</xdr:rowOff>
    </xdr:from>
    <xdr:to>
      <xdr:col>8</xdr:col>
      <xdr:colOff>7620</xdr:colOff>
      <xdr:row>9</xdr:row>
      <xdr:rowOff>0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C8B4CAB3-C64C-4DE8-A735-FDEB4AED7F6F}"/>
            </a:ext>
          </a:extLst>
        </xdr:cNvPr>
        <xdr:cNvCxnSpPr/>
      </xdr:nvCxnSpPr>
      <xdr:spPr>
        <a:xfrm flipV="1">
          <a:off x="4465320" y="1097280"/>
          <a:ext cx="601980" cy="2971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9</xdr:row>
      <xdr:rowOff>7620</xdr:rowOff>
    </xdr:from>
    <xdr:to>
      <xdr:col>8</xdr:col>
      <xdr:colOff>0</xdr:colOff>
      <xdr:row>11</xdr:row>
      <xdr:rowOff>15240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A653FD8B-DC4F-4AAB-97F7-22F40CB3BA75}"/>
            </a:ext>
          </a:extLst>
        </xdr:cNvPr>
        <xdr:cNvCxnSpPr/>
      </xdr:nvCxnSpPr>
      <xdr:spPr>
        <a:xfrm>
          <a:off x="4457700" y="1402080"/>
          <a:ext cx="601980" cy="3200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11</xdr:row>
      <xdr:rowOff>7620</xdr:rowOff>
    </xdr:from>
    <xdr:to>
      <xdr:col>7</xdr:col>
      <xdr:colOff>601980</xdr:colOff>
      <xdr:row>12</xdr:row>
      <xdr:rowOff>144780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204E3ACA-CC21-43B7-8F53-FC54B9ABF9E0}"/>
            </a:ext>
          </a:extLst>
        </xdr:cNvPr>
        <xdr:cNvCxnSpPr/>
      </xdr:nvCxnSpPr>
      <xdr:spPr>
        <a:xfrm flipV="1">
          <a:off x="4450080" y="1714500"/>
          <a:ext cx="601980" cy="2971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601980</xdr:colOff>
      <xdr:row>13</xdr:row>
      <xdr:rowOff>0</xdr:rowOff>
    </xdr:from>
    <xdr:to>
      <xdr:col>7</xdr:col>
      <xdr:colOff>594360</xdr:colOff>
      <xdr:row>15</xdr:row>
      <xdr:rowOff>7620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9A39BD16-432B-4B1B-BA29-4E57C7755668}"/>
            </a:ext>
          </a:extLst>
        </xdr:cNvPr>
        <xdr:cNvCxnSpPr/>
      </xdr:nvCxnSpPr>
      <xdr:spPr>
        <a:xfrm>
          <a:off x="4442460" y="2019300"/>
          <a:ext cx="601980" cy="3200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</xdr:colOff>
      <xdr:row>5</xdr:row>
      <xdr:rowOff>15240</xdr:rowOff>
    </xdr:from>
    <xdr:to>
      <xdr:col>10</xdr:col>
      <xdr:colOff>0</xdr:colOff>
      <xdr:row>7</xdr:row>
      <xdr:rowOff>0</xdr:rowOff>
    </xdr:to>
    <xdr:cxnSp macro="">
      <xdr:nvCxnSpPr>
        <xdr:cNvPr id="10" name="直線矢印コネクタ 9">
          <a:extLst>
            <a:ext uri="{FF2B5EF4-FFF2-40B4-BE49-F238E27FC236}">
              <a16:creationId xmlns:a16="http://schemas.microsoft.com/office/drawing/2014/main" id="{752892E1-4AA4-4E83-99BA-C4BD6B214EEB}"/>
            </a:ext>
          </a:extLst>
        </xdr:cNvPr>
        <xdr:cNvCxnSpPr/>
      </xdr:nvCxnSpPr>
      <xdr:spPr>
        <a:xfrm flipV="1">
          <a:off x="5676900" y="784860"/>
          <a:ext cx="601980" cy="2971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</xdr:row>
      <xdr:rowOff>7620</xdr:rowOff>
    </xdr:from>
    <xdr:to>
      <xdr:col>9</xdr:col>
      <xdr:colOff>601980</xdr:colOff>
      <xdr:row>9</xdr:row>
      <xdr:rowOff>15240</xdr:rowOff>
    </xdr:to>
    <xdr:cxnSp macro="">
      <xdr:nvCxnSpPr>
        <xdr:cNvPr id="11" name="直線矢印コネクタ 10">
          <a:extLst>
            <a:ext uri="{FF2B5EF4-FFF2-40B4-BE49-F238E27FC236}">
              <a16:creationId xmlns:a16="http://schemas.microsoft.com/office/drawing/2014/main" id="{93A63714-BE17-46CF-896C-9D8E0B567D04}"/>
            </a:ext>
          </a:extLst>
        </xdr:cNvPr>
        <xdr:cNvCxnSpPr/>
      </xdr:nvCxnSpPr>
      <xdr:spPr>
        <a:xfrm>
          <a:off x="5669280" y="1089660"/>
          <a:ext cx="601980" cy="3200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</xdr:colOff>
      <xdr:row>9</xdr:row>
      <xdr:rowOff>22860</xdr:rowOff>
    </xdr:from>
    <xdr:to>
      <xdr:col>10</xdr:col>
      <xdr:colOff>0</xdr:colOff>
      <xdr:row>11</xdr:row>
      <xdr:rowOff>7620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209177C3-F593-4E52-923A-5E1A86FCF9A3}"/>
            </a:ext>
          </a:extLst>
        </xdr:cNvPr>
        <xdr:cNvCxnSpPr/>
      </xdr:nvCxnSpPr>
      <xdr:spPr>
        <a:xfrm flipV="1">
          <a:off x="5676900" y="1417320"/>
          <a:ext cx="601980" cy="2971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11</xdr:row>
      <xdr:rowOff>15240</xdr:rowOff>
    </xdr:from>
    <xdr:to>
      <xdr:col>9</xdr:col>
      <xdr:colOff>601980</xdr:colOff>
      <xdr:row>13</xdr:row>
      <xdr:rowOff>22860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id="{75DD6D17-A099-4944-AA8D-67FF1B488A30}"/>
            </a:ext>
          </a:extLst>
        </xdr:cNvPr>
        <xdr:cNvCxnSpPr/>
      </xdr:nvCxnSpPr>
      <xdr:spPr>
        <a:xfrm>
          <a:off x="5669280" y="1722120"/>
          <a:ext cx="601980" cy="3200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15240</xdr:colOff>
      <xdr:row>13</xdr:row>
      <xdr:rowOff>0</xdr:rowOff>
    </xdr:from>
    <xdr:to>
      <xdr:col>10</xdr:col>
      <xdr:colOff>7620</xdr:colOff>
      <xdr:row>14</xdr:row>
      <xdr:rowOff>137160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id="{6687DA30-E71F-4532-A7C9-55BE37505FE9}"/>
            </a:ext>
          </a:extLst>
        </xdr:cNvPr>
        <xdr:cNvCxnSpPr/>
      </xdr:nvCxnSpPr>
      <xdr:spPr>
        <a:xfrm flipV="1">
          <a:off x="5684520" y="2019300"/>
          <a:ext cx="601980" cy="2971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</xdr:colOff>
      <xdr:row>14</xdr:row>
      <xdr:rowOff>144780</xdr:rowOff>
    </xdr:from>
    <xdr:to>
      <xdr:col>10</xdr:col>
      <xdr:colOff>0</xdr:colOff>
      <xdr:row>17</xdr:row>
      <xdr:rowOff>0</xdr:rowOff>
    </xdr:to>
    <xdr:cxnSp macro="">
      <xdr:nvCxnSpPr>
        <xdr:cNvPr id="15" name="直線矢印コネクタ 14">
          <a:extLst>
            <a:ext uri="{FF2B5EF4-FFF2-40B4-BE49-F238E27FC236}">
              <a16:creationId xmlns:a16="http://schemas.microsoft.com/office/drawing/2014/main" id="{13E314CB-7F6A-44D1-82C5-EE3B5034379C}"/>
            </a:ext>
          </a:extLst>
        </xdr:cNvPr>
        <xdr:cNvCxnSpPr/>
      </xdr:nvCxnSpPr>
      <xdr:spPr>
        <a:xfrm>
          <a:off x="5676900" y="2324100"/>
          <a:ext cx="601980" cy="3200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601980</xdr:colOff>
      <xdr:row>10</xdr:row>
      <xdr:rowOff>144780</xdr:rowOff>
    </xdr:from>
    <xdr:to>
      <xdr:col>5</xdr:col>
      <xdr:colOff>586740</xdr:colOff>
      <xdr:row>20</xdr:row>
      <xdr:rowOff>129540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69457EC2-AB66-EBD1-B8D3-CF43EFAAD725}"/>
            </a:ext>
          </a:extLst>
        </xdr:cNvPr>
        <xdr:cNvCxnSpPr/>
      </xdr:nvCxnSpPr>
      <xdr:spPr>
        <a:xfrm>
          <a:off x="3223260" y="1699260"/>
          <a:ext cx="594360" cy="15468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9</xdr:row>
      <xdr:rowOff>15240</xdr:rowOff>
    </xdr:from>
    <xdr:to>
      <xdr:col>7</xdr:col>
      <xdr:colOff>601980</xdr:colOff>
      <xdr:row>21</xdr:row>
      <xdr:rowOff>0</xdr:rowOff>
    </xdr:to>
    <xdr:cxnSp macro="">
      <xdr:nvCxnSpPr>
        <xdr:cNvPr id="19" name="直線矢印コネクタ 18">
          <a:extLst>
            <a:ext uri="{FF2B5EF4-FFF2-40B4-BE49-F238E27FC236}">
              <a16:creationId xmlns:a16="http://schemas.microsoft.com/office/drawing/2014/main" id="{947FF325-9241-50FE-A5FB-92E650D96AD5}"/>
            </a:ext>
          </a:extLst>
        </xdr:cNvPr>
        <xdr:cNvCxnSpPr/>
      </xdr:nvCxnSpPr>
      <xdr:spPr>
        <a:xfrm>
          <a:off x="4457700" y="1409700"/>
          <a:ext cx="594360" cy="18592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594360</xdr:colOff>
      <xdr:row>13</xdr:row>
      <xdr:rowOff>7620</xdr:rowOff>
    </xdr:from>
    <xdr:to>
      <xdr:col>8</xdr:col>
      <xdr:colOff>0</xdr:colOff>
      <xdr:row>20</xdr:row>
      <xdr:rowOff>121920</xdr:rowOff>
    </xdr:to>
    <xdr:cxnSp macro="">
      <xdr:nvCxnSpPr>
        <xdr:cNvPr id="21" name="直線矢印コネクタ 20">
          <a:extLst>
            <a:ext uri="{FF2B5EF4-FFF2-40B4-BE49-F238E27FC236}">
              <a16:creationId xmlns:a16="http://schemas.microsoft.com/office/drawing/2014/main" id="{05977E0F-668B-6B59-7490-EAE641577B94}"/>
            </a:ext>
          </a:extLst>
        </xdr:cNvPr>
        <xdr:cNvCxnSpPr/>
      </xdr:nvCxnSpPr>
      <xdr:spPr>
        <a:xfrm>
          <a:off x="4434840" y="2026920"/>
          <a:ext cx="624840" cy="12115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</xdr:colOff>
      <xdr:row>7</xdr:row>
      <xdr:rowOff>22860</xdr:rowOff>
    </xdr:from>
    <xdr:to>
      <xdr:col>9</xdr:col>
      <xdr:colOff>601980</xdr:colOff>
      <xdr:row>21</xdr:row>
      <xdr:rowOff>0</xdr:rowOff>
    </xdr:to>
    <xdr:cxnSp macro="">
      <xdr:nvCxnSpPr>
        <xdr:cNvPr id="23" name="直線矢印コネクタ 22">
          <a:extLst>
            <a:ext uri="{FF2B5EF4-FFF2-40B4-BE49-F238E27FC236}">
              <a16:creationId xmlns:a16="http://schemas.microsoft.com/office/drawing/2014/main" id="{F1E8ACAB-E952-6DF0-DCF2-36572BCB3747}"/>
            </a:ext>
          </a:extLst>
        </xdr:cNvPr>
        <xdr:cNvCxnSpPr/>
      </xdr:nvCxnSpPr>
      <xdr:spPr>
        <a:xfrm>
          <a:off x="5676900" y="1104900"/>
          <a:ext cx="594360" cy="21640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594360</xdr:colOff>
      <xdr:row>11</xdr:row>
      <xdr:rowOff>7620</xdr:rowOff>
    </xdr:from>
    <xdr:to>
      <xdr:col>9</xdr:col>
      <xdr:colOff>563880</xdr:colOff>
      <xdr:row>20</xdr:row>
      <xdr:rowOff>144780</xdr:rowOff>
    </xdr:to>
    <xdr:cxnSp macro="">
      <xdr:nvCxnSpPr>
        <xdr:cNvPr id="25" name="直線矢印コネクタ 24">
          <a:extLst>
            <a:ext uri="{FF2B5EF4-FFF2-40B4-BE49-F238E27FC236}">
              <a16:creationId xmlns:a16="http://schemas.microsoft.com/office/drawing/2014/main" id="{E35583A5-91C6-A2B0-F38A-5BEB8B9E9F01}"/>
            </a:ext>
          </a:extLst>
        </xdr:cNvPr>
        <xdr:cNvCxnSpPr/>
      </xdr:nvCxnSpPr>
      <xdr:spPr>
        <a:xfrm>
          <a:off x="5654040" y="1714500"/>
          <a:ext cx="579120" cy="15468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</xdr:colOff>
      <xdr:row>14</xdr:row>
      <xdr:rowOff>137160</xdr:rowOff>
    </xdr:from>
    <xdr:to>
      <xdr:col>9</xdr:col>
      <xdr:colOff>579120</xdr:colOff>
      <xdr:row>21</xdr:row>
      <xdr:rowOff>0</xdr:rowOff>
    </xdr:to>
    <xdr:cxnSp macro="">
      <xdr:nvCxnSpPr>
        <xdr:cNvPr id="27" name="直線矢印コネクタ 26">
          <a:extLst>
            <a:ext uri="{FF2B5EF4-FFF2-40B4-BE49-F238E27FC236}">
              <a16:creationId xmlns:a16="http://schemas.microsoft.com/office/drawing/2014/main" id="{4630AB80-DA04-33FE-8AE6-AE5356811010}"/>
            </a:ext>
          </a:extLst>
        </xdr:cNvPr>
        <xdr:cNvCxnSpPr/>
      </xdr:nvCxnSpPr>
      <xdr:spPr>
        <a:xfrm>
          <a:off x="5676900" y="2316480"/>
          <a:ext cx="571500" cy="952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DD839-3862-4931-9BA5-D30A44E34A69}">
  <sheetPr codeName="Sheet2"/>
  <dimension ref="A1:C20"/>
  <sheetViews>
    <sheetView workbookViewId="0">
      <selection activeCell="B21" sqref="B21"/>
    </sheetView>
  </sheetViews>
  <sheetFormatPr defaultRowHeight="12" x14ac:dyDescent="0.25"/>
  <sheetData>
    <row r="1" spans="1:3" x14ac:dyDescent="0.25">
      <c r="A1" t="s">
        <v>44</v>
      </c>
    </row>
    <row r="2" spans="1:3" x14ac:dyDescent="0.25">
      <c r="A2" t="s">
        <v>0</v>
      </c>
      <c r="B2">
        <v>100</v>
      </c>
    </row>
    <row r="3" spans="1:3" x14ac:dyDescent="0.25">
      <c r="A3" t="s">
        <v>4</v>
      </c>
      <c r="B3">
        <v>0.01</v>
      </c>
    </row>
    <row r="4" spans="1:3" x14ac:dyDescent="0.25">
      <c r="A4" t="s">
        <v>3</v>
      </c>
      <c r="B4">
        <v>1</v>
      </c>
      <c r="C4" t="s">
        <v>43</v>
      </c>
    </row>
    <row r="6" spans="1:3" x14ac:dyDescent="0.25">
      <c r="A6" t="s">
        <v>45</v>
      </c>
      <c r="B6">
        <f>+B2*EXP(-B3*B4)</f>
        <v>99.004983374916804</v>
      </c>
    </row>
    <row r="8" spans="1:3" x14ac:dyDescent="0.25">
      <c r="A8" t="s">
        <v>44</v>
      </c>
    </row>
    <row r="9" spans="1:3" x14ac:dyDescent="0.25">
      <c r="A9" t="s">
        <v>0</v>
      </c>
      <c r="B9">
        <v>100</v>
      </c>
    </row>
    <row r="10" spans="1:3" x14ac:dyDescent="0.25">
      <c r="A10" t="s">
        <v>4</v>
      </c>
      <c r="B10">
        <v>0.02</v>
      </c>
    </row>
    <row r="11" spans="1:3" x14ac:dyDescent="0.25">
      <c r="A11" t="s">
        <v>3</v>
      </c>
      <c r="B11">
        <v>2</v>
      </c>
      <c r="C11" t="s">
        <v>43</v>
      </c>
    </row>
    <row r="13" spans="1:3" x14ac:dyDescent="0.25">
      <c r="A13" t="s">
        <v>45</v>
      </c>
      <c r="B13">
        <f>+B9*EXP(-B10*B11)</f>
        <v>96.078943915232315</v>
      </c>
    </row>
    <row r="15" spans="1:3" x14ac:dyDescent="0.25">
      <c r="A15" t="s">
        <v>44</v>
      </c>
    </row>
    <row r="16" spans="1:3" x14ac:dyDescent="0.25">
      <c r="A16" t="s">
        <v>0</v>
      </c>
      <c r="B16">
        <v>100</v>
      </c>
    </row>
    <row r="17" spans="1:3" x14ac:dyDescent="0.25">
      <c r="A17" t="s">
        <v>4</v>
      </c>
      <c r="B17">
        <v>0.03</v>
      </c>
    </row>
    <row r="18" spans="1:3" x14ac:dyDescent="0.25">
      <c r="A18" t="s">
        <v>3</v>
      </c>
      <c r="B18">
        <v>3</v>
      </c>
      <c r="C18" t="s">
        <v>43</v>
      </c>
    </row>
    <row r="20" spans="1:3" x14ac:dyDescent="0.25">
      <c r="A20" t="s">
        <v>45</v>
      </c>
      <c r="B20">
        <f>+B16*EXP(-B17*B18)</f>
        <v>91.393118527122823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7AA49-2F89-47F7-A7B8-C9C2DEABF532}">
  <sheetPr codeName="Sheet1"/>
  <dimension ref="A1:F6"/>
  <sheetViews>
    <sheetView workbookViewId="0">
      <selection activeCell="F5" sqref="F5"/>
    </sheetView>
  </sheetViews>
  <sheetFormatPr defaultRowHeight="12" x14ac:dyDescent="0.25"/>
  <cols>
    <col min="1" max="1" width="18.85546875" customWidth="1"/>
    <col min="6" max="6" width="10.5" customWidth="1"/>
  </cols>
  <sheetData>
    <row r="1" spans="1:6" x14ac:dyDescent="0.25">
      <c r="D1" t="s">
        <v>3</v>
      </c>
      <c r="E1" t="s">
        <v>4</v>
      </c>
    </row>
    <row r="2" spans="1:6" x14ac:dyDescent="0.25">
      <c r="A2" t="s">
        <v>0</v>
      </c>
      <c r="B2">
        <v>100</v>
      </c>
      <c r="D2">
        <v>1</v>
      </c>
      <c r="E2">
        <v>0.01</v>
      </c>
      <c r="F2">
        <f>+$B$2*$B$3*EXP(-E2*D2)</f>
        <v>4.9502491687458408</v>
      </c>
    </row>
    <row r="3" spans="1:6" x14ac:dyDescent="0.25">
      <c r="A3" t="s">
        <v>1</v>
      </c>
      <c r="B3">
        <v>0.05</v>
      </c>
      <c r="D3">
        <v>2</v>
      </c>
      <c r="E3">
        <v>0.02</v>
      </c>
      <c r="F3">
        <f>+$B$2*$B$3*EXP(-E3*D3)</f>
        <v>4.8039471957616158</v>
      </c>
    </row>
    <row r="4" spans="1:6" x14ac:dyDescent="0.25">
      <c r="A4" t="s">
        <v>3</v>
      </c>
      <c r="B4">
        <v>3</v>
      </c>
      <c r="D4">
        <v>3</v>
      </c>
      <c r="E4">
        <v>0.03</v>
      </c>
      <c r="F4">
        <f>+$B$2*($B$3+1)*EXP(-E4*D4)</f>
        <v>95.962774453478957</v>
      </c>
    </row>
    <row r="5" spans="1:6" x14ac:dyDescent="0.25">
      <c r="A5" t="s">
        <v>2</v>
      </c>
      <c r="B5">
        <f>+B2*EXP(B3*B4)</f>
        <v>116.1834242728283</v>
      </c>
    </row>
    <row r="6" spans="1:6" x14ac:dyDescent="0.25">
      <c r="F6">
        <f>SUM(F2:F5)</f>
        <v>105.71697081798641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76A4-7A4C-4BC3-AF4E-1048863FF354}">
  <sheetPr codeName="Sheet5"/>
  <dimension ref="A1:K14"/>
  <sheetViews>
    <sheetView zoomScale="130" zoomScaleNormal="130" workbookViewId="0">
      <selection activeCell="N15" sqref="N15"/>
    </sheetView>
  </sheetViews>
  <sheetFormatPr defaultRowHeight="12" x14ac:dyDescent="0.25"/>
  <cols>
    <col min="1" max="1" width="11.28515625" customWidth="1"/>
    <col min="3" max="3" width="12.85546875" customWidth="1"/>
    <col min="4" max="4" width="12" customWidth="1"/>
    <col min="5" max="5" width="12.0703125" customWidth="1"/>
    <col min="6" max="6" width="12.28515625" customWidth="1"/>
  </cols>
  <sheetData>
    <row r="1" spans="1:11" ht="12.4" thickBot="1" x14ac:dyDescent="0.3">
      <c r="A1" s="2" t="s">
        <v>5</v>
      </c>
      <c r="B1" s="3" t="s">
        <v>6</v>
      </c>
      <c r="C1" s="3" t="s">
        <v>7</v>
      </c>
      <c r="D1" s="3" t="s">
        <v>9</v>
      </c>
      <c r="E1" s="26" t="s">
        <v>8</v>
      </c>
      <c r="F1" s="4" t="s">
        <v>8</v>
      </c>
      <c r="G1" s="5"/>
      <c r="H1" s="7" t="s">
        <v>10</v>
      </c>
      <c r="I1" s="8"/>
      <c r="J1" s="8"/>
      <c r="K1" s="8"/>
    </row>
    <row r="2" spans="1:11" x14ac:dyDescent="0.25">
      <c r="A2" s="22"/>
      <c r="B2" s="23"/>
      <c r="C2" s="23"/>
      <c r="D2" s="23"/>
      <c r="E2" s="27"/>
      <c r="F2" s="24"/>
      <c r="G2" s="5" t="s">
        <v>12</v>
      </c>
      <c r="H2" s="8">
        <v>1</v>
      </c>
      <c r="I2" s="8">
        <f>+H2+1</f>
        <v>2</v>
      </c>
      <c r="J2" s="8">
        <f>+I2+1</f>
        <v>3</v>
      </c>
      <c r="K2" s="8" t="s">
        <v>11</v>
      </c>
    </row>
    <row r="3" spans="1:11" x14ac:dyDescent="0.25">
      <c r="A3" s="1">
        <v>100</v>
      </c>
      <c r="B3">
        <v>1</v>
      </c>
      <c r="D3">
        <f>+EXP(-E3*B3)*100</f>
        <v>99.004983374916804</v>
      </c>
      <c r="E3" s="28">
        <v>0.01</v>
      </c>
      <c r="F3" s="25">
        <f>+LN(A3/D3)</f>
        <v>1.0000000000000113E-2</v>
      </c>
    </row>
    <row r="4" spans="1:11" x14ac:dyDescent="0.25">
      <c r="A4" s="1">
        <v>100</v>
      </c>
      <c r="B4">
        <v>2</v>
      </c>
      <c r="C4">
        <v>0.03</v>
      </c>
      <c r="D4">
        <f>+C4*A4*EXP(-E3*B3)+C4*A4*EXP(-E4*B4)+A4*EXP(-E4*B4)</f>
        <v>101.93146173393679</v>
      </c>
      <c r="E4" s="28">
        <v>0.02</v>
      </c>
      <c r="F4" s="25">
        <f>-LN(G4/(C4*A4+A4))/B4</f>
        <v>2.0000000000000073E-2</v>
      </c>
      <c r="G4" s="6">
        <f>+D4-K4</f>
        <v>98.961312232689281</v>
      </c>
      <c r="H4" s="8">
        <f>+C4*A4*EXP(-E3*H2)</f>
        <v>2.9701495012475041</v>
      </c>
      <c r="I4" s="8"/>
      <c r="J4" s="8"/>
      <c r="K4" s="8">
        <f>SUM(H4:J4)</f>
        <v>2.9701495012475041</v>
      </c>
    </row>
    <row r="5" spans="1:11" x14ac:dyDescent="0.25">
      <c r="A5" s="1">
        <v>100</v>
      </c>
      <c r="B5">
        <v>3</v>
      </c>
      <c r="C5">
        <v>0.05</v>
      </c>
      <c r="D5">
        <f>+C5*A5*EXP(-E3*B3)+C5*A5*EXP(-E4*B4)+C5*A5*EXP(-E5*B5)+A5*EXP(-E5*B5)</f>
        <v>105.71697081798642</v>
      </c>
      <c r="E5" s="28">
        <v>0.03</v>
      </c>
      <c r="F5" s="25">
        <f>-LN(G5/(C5*A5+A5))/B5</f>
        <v>2.9999999999999961E-2</v>
      </c>
      <c r="G5" s="6">
        <f>+D5-K5</f>
        <v>95.962774453478971</v>
      </c>
      <c r="H5" s="8">
        <f>+C5*A5*EXP(-F3*H2)</f>
        <v>4.9502491687458399</v>
      </c>
      <c r="I5" s="8">
        <f>+C5*A5*EXP(-F4*I2)</f>
        <v>4.8039471957616158</v>
      </c>
      <c r="J5" s="8"/>
      <c r="K5" s="8">
        <f>SUM(H5:J5)</f>
        <v>9.7541963645074556</v>
      </c>
    </row>
    <row r="6" spans="1:11" x14ac:dyDescent="0.25">
      <c r="C6" t="s">
        <v>46</v>
      </c>
    </row>
    <row r="10" spans="1:11" ht="12.4" thickBot="1" x14ac:dyDescent="0.3"/>
    <row r="11" spans="1:11" ht="12.4" thickBot="1" x14ac:dyDescent="0.3">
      <c r="B11" s="3"/>
      <c r="C11" s="3" t="s">
        <v>7</v>
      </c>
      <c r="D11" s="4" t="s">
        <v>8</v>
      </c>
    </row>
    <row r="12" spans="1:11" x14ac:dyDescent="0.25">
      <c r="B12">
        <f>+B3</f>
        <v>1</v>
      </c>
      <c r="C12">
        <f>+C3</f>
        <v>0</v>
      </c>
      <c r="D12" s="29">
        <f>+F3</f>
        <v>1.0000000000000113E-2</v>
      </c>
    </row>
    <row r="13" spans="1:11" x14ac:dyDescent="0.25">
      <c r="B13">
        <f t="shared" ref="B13:C14" si="0">+B4</f>
        <v>2</v>
      </c>
      <c r="C13">
        <f t="shared" si="0"/>
        <v>0.03</v>
      </c>
      <c r="D13" s="29">
        <f t="shared" ref="D13:D14" si="1">+F4</f>
        <v>2.0000000000000073E-2</v>
      </c>
    </row>
    <row r="14" spans="1:11" x14ac:dyDescent="0.25">
      <c r="B14">
        <f t="shared" si="0"/>
        <v>3</v>
      </c>
      <c r="C14">
        <f t="shared" si="0"/>
        <v>0.05</v>
      </c>
      <c r="D14" s="29">
        <f t="shared" si="1"/>
        <v>2.9999999999999961E-2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76A9-C9F0-43FC-965E-070FDC2EC919}">
  <sheetPr codeName="Sheet3"/>
  <dimension ref="A1:M25"/>
  <sheetViews>
    <sheetView zoomScale="150" zoomScaleNormal="150" workbookViewId="0">
      <selection activeCell="G22" sqref="G22"/>
    </sheetView>
  </sheetViews>
  <sheetFormatPr defaultRowHeight="12" x14ac:dyDescent="0.25"/>
  <cols>
    <col min="1" max="1" width="2.7109375" customWidth="1"/>
    <col min="2" max="2" width="11.5703125" customWidth="1"/>
  </cols>
  <sheetData>
    <row r="1" spans="1:13" x14ac:dyDescent="0.25">
      <c r="A1" s="16"/>
      <c r="B1" s="14" t="s">
        <v>13</v>
      </c>
      <c r="C1" s="14"/>
      <c r="D1" s="16"/>
      <c r="E1" s="16"/>
      <c r="F1" s="16"/>
      <c r="G1" s="16"/>
      <c r="H1" s="16"/>
      <c r="I1" s="16"/>
      <c r="J1" s="16"/>
      <c r="K1" s="16"/>
      <c r="L1" s="16"/>
      <c r="M1" s="16"/>
    </row>
    <row r="2" spans="1:13" x14ac:dyDescent="0.25">
      <c r="A2" s="16"/>
      <c r="B2" s="14" t="s">
        <v>14</v>
      </c>
      <c r="C2" s="14">
        <v>0.75</v>
      </c>
      <c r="D2" s="16"/>
      <c r="E2" s="16"/>
      <c r="F2" s="16"/>
      <c r="G2" s="16"/>
      <c r="H2" s="16"/>
      <c r="I2" s="16"/>
      <c r="J2" s="16"/>
      <c r="K2" s="16"/>
      <c r="L2" s="16"/>
      <c r="M2" s="16"/>
    </row>
    <row r="3" spans="1:13" x14ac:dyDescent="0.25">
      <c r="A3" s="16"/>
      <c r="B3" s="14" t="s">
        <v>15</v>
      </c>
      <c r="C3" s="14">
        <v>113</v>
      </c>
      <c r="D3" s="16"/>
      <c r="E3" s="16"/>
      <c r="F3" s="16"/>
      <c r="G3" s="16"/>
      <c r="H3" s="16"/>
      <c r="I3" s="16"/>
      <c r="J3" s="16"/>
      <c r="K3" s="16"/>
      <c r="L3" s="16"/>
      <c r="M3" s="16"/>
    </row>
    <row r="4" spans="1:13" ht="12.4" thickBot="1" x14ac:dyDescent="0.3">
      <c r="A4" s="16"/>
      <c r="B4" s="14" t="s">
        <v>16</v>
      </c>
      <c r="C4" s="14">
        <v>50</v>
      </c>
      <c r="D4" s="16"/>
      <c r="E4" s="16"/>
      <c r="F4" s="16"/>
      <c r="G4" s="16"/>
      <c r="H4" s="16"/>
      <c r="I4" s="16"/>
      <c r="J4" s="16"/>
      <c r="K4" s="16"/>
      <c r="L4" s="16"/>
      <c r="M4" s="16"/>
    </row>
    <row r="5" spans="1:13" x14ac:dyDescent="0.25">
      <c r="A5" s="16"/>
      <c r="B5" s="14" t="s">
        <v>17</v>
      </c>
      <c r="C5" s="14">
        <v>0.3</v>
      </c>
      <c r="D5" s="16"/>
      <c r="E5" s="16"/>
      <c r="F5" s="16"/>
      <c r="G5" s="16"/>
      <c r="H5" s="16"/>
      <c r="I5" s="16"/>
      <c r="J5" s="16"/>
      <c r="K5" s="18">
        <f>+I7*$C$15</f>
        <v>76.423258016158925</v>
      </c>
      <c r="L5" s="16" t="s">
        <v>32</v>
      </c>
      <c r="M5" s="16"/>
    </row>
    <row r="6" spans="1:13" ht="12.4" thickBot="1" x14ac:dyDescent="0.3">
      <c r="A6" s="16"/>
      <c r="B6" s="14" t="s">
        <v>18</v>
      </c>
      <c r="C6" s="14">
        <v>0.01</v>
      </c>
      <c r="D6" s="16"/>
      <c r="E6" s="16"/>
      <c r="F6" s="16"/>
      <c r="G6" s="16"/>
      <c r="H6" s="16"/>
      <c r="I6" s="16"/>
      <c r="J6" s="16"/>
      <c r="K6" s="12">
        <f>+MAX(K5*$C$13,C10)</f>
        <v>152.84651603231785</v>
      </c>
      <c r="L6" s="16" t="s">
        <v>33</v>
      </c>
      <c r="M6" s="16"/>
    </row>
    <row r="7" spans="1:13" x14ac:dyDescent="0.25">
      <c r="A7" s="16"/>
      <c r="B7" s="14" t="s">
        <v>19</v>
      </c>
      <c r="C7" s="14">
        <v>0.05</v>
      </c>
      <c r="D7" s="16"/>
      <c r="E7" s="16"/>
      <c r="F7" s="16"/>
      <c r="G7" s="16"/>
      <c r="H7" s="16"/>
      <c r="I7" s="18">
        <f>+G9*$C$15</f>
        <v>66.344822057267208</v>
      </c>
      <c r="J7" s="16"/>
      <c r="K7" s="19"/>
      <c r="L7" s="16"/>
      <c r="M7" s="16"/>
    </row>
    <row r="8" spans="1:13" ht="12.4" thickBot="1" x14ac:dyDescent="0.3">
      <c r="A8" s="16"/>
      <c r="B8" s="14" t="s">
        <v>20</v>
      </c>
      <c r="C8" s="14">
        <v>40</v>
      </c>
      <c r="D8" s="16"/>
      <c r="E8" s="16"/>
      <c r="F8" s="16"/>
      <c r="G8" s="16"/>
      <c r="I8" s="13">
        <f>MAX(MIN((K6*$C$18+K10*$C$19+$G$22*$C$20)*$C$22,$C$3),$C$13*I7)</f>
        <v>132.68964411453442</v>
      </c>
      <c r="K8" s="19"/>
      <c r="L8" s="16"/>
      <c r="M8" s="16"/>
    </row>
    <row r="9" spans="1:13" x14ac:dyDescent="0.25">
      <c r="A9" s="16"/>
      <c r="B9" s="14" t="s">
        <v>21</v>
      </c>
      <c r="C9" s="14">
        <v>0.25</v>
      </c>
      <c r="D9" s="16"/>
      <c r="E9" s="16"/>
      <c r="F9" s="16"/>
      <c r="G9" s="18">
        <f>+E11*C15</f>
        <v>57.595495508445453</v>
      </c>
      <c r="H9" s="16"/>
      <c r="I9" s="19"/>
      <c r="J9" s="16"/>
      <c r="K9" s="10">
        <f>+I7*$C$16</f>
        <v>57.59549550844546</v>
      </c>
      <c r="L9" s="16" t="s">
        <v>32</v>
      </c>
      <c r="M9" s="16"/>
    </row>
    <row r="10" spans="1:13" ht="12.4" thickBot="1" x14ac:dyDescent="0.3">
      <c r="A10" s="16"/>
      <c r="B10" s="14" t="s">
        <v>37</v>
      </c>
      <c r="C10" s="14">
        <v>100</v>
      </c>
      <c r="D10" s="16"/>
      <c r="E10" s="16" t="s">
        <v>29</v>
      </c>
      <c r="F10" s="16"/>
      <c r="G10" s="20">
        <f>MAX(MIN((I8*$C$18+I12*$C$19+$G$22*$C$20)*$C$22,113),$C$13*G9)</f>
        <v>115.19099101689091</v>
      </c>
      <c r="H10" s="16"/>
      <c r="I10" s="11"/>
      <c r="K10" s="12">
        <f>+MAX(K9*$C$13,C10)</f>
        <v>115.19099101689092</v>
      </c>
      <c r="L10" s="16" t="s">
        <v>33</v>
      </c>
      <c r="M10" s="16"/>
    </row>
    <row r="11" spans="1:13" x14ac:dyDescent="0.25">
      <c r="A11" s="16"/>
      <c r="B11" s="14" t="s">
        <v>38</v>
      </c>
      <c r="C11" s="14">
        <v>3</v>
      </c>
      <c r="D11" s="16"/>
      <c r="E11" s="17">
        <f>+C4</f>
        <v>50</v>
      </c>
      <c r="F11" s="16"/>
      <c r="G11" s="19"/>
      <c r="H11" s="16"/>
      <c r="I11" s="10">
        <f>+G9*$C$16</f>
        <v>50</v>
      </c>
      <c r="J11" s="16"/>
      <c r="K11" s="19"/>
      <c r="L11" s="16"/>
      <c r="M11" s="16"/>
    </row>
    <row r="12" spans="1:13" ht="12.4" thickBot="1" x14ac:dyDescent="0.3">
      <c r="A12" s="16"/>
      <c r="B12" s="14" t="s">
        <v>20</v>
      </c>
      <c r="C12" s="14">
        <v>40</v>
      </c>
      <c r="D12" s="16"/>
      <c r="E12" s="13">
        <f>+(G10*$C$18+G14*$C$19+$I$22*$C$20)*$C$22</f>
        <v>106.92862266134833</v>
      </c>
      <c r="F12" s="16"/>
      <c r="G12" s="19"/>
      <c r="H12" s="16"/>
      <c r="I12" s="13">
        <f>MAX(MIN((K10*$C$18+K14*$C$19+$G$22*$C$20)*$C$22,113),$C$13*I11)</f>
        <v>106.36098794855963</v>
      </c>
      <c r="J12" s="16"/>
      <c r="K12" s="19"/>
      <c r="L12" s="16"/>
      <c r="M12" s="16"/>
    </row>
    <row r="13" spans="1:13" x14ac:dyDescent="0.25">
      <c r="A13" s="16"/>
      <c r="B13" s="14" t="s">
        <v>40</v>
      </c>
      <c r="C13" s="14">
        <v>2</v>
      </c>
      <c r="D13" s="16"/>
      <c r="E13" s="16"/>
      <c r="F13" s="16"/>
      <c r="G13" s="18">
        <f>+E11*$C$16</f>
        <v>43.40617226972924</v>
      </c>
      <c r="H13" s="16"/>
      <c r="I13" s="19"/>
      <c r="J13" s="16"/>
      <c r="K13" s="10">
        <f>+I11*$C$16</f>
        <v>43.40617226972924</v>
      </c>
      <c r="L13" s="16" t="s">
        <v>32</v>
      </c>
      <c r="M13" s="16"/>
    </row>
    <row r="14" spans="1:13" ht="12.4" thickBot="1" x14ac:dyDescent="0.3">
      <c r="A14" s="16"/>
      <c r="B14" s="15" t="s">
        <v>22</v>
      </c>
      <c r="C14" s="15"/>
      <c r="D14" s="16"/>
      <c r="E14" s="16"/>
      <c r="F14" s="16"/>
      <c r="G14" s="13">
        <f>MAX(MIN((I12*$C$18+I16*$C$19+$G$22*$C$20)*$C$22,113),$C$13*G13)</f>
        <v>101.19536065861639</v>
      </c>
      <c r="H14" s="16"/>
      <c r="I14" s="19"/>
      <c r="J14" s="16"/>
      <c r="K14" s="13">
        <f>+MAX($C$13*K13,C10)</f>
        <v>100</v>
      </c>
      <c r="L14" s="16" t="s">
        <v>34</v>
      </c>
      <c r="M14" s="16"/>
    </row>
    <row r="15" spans="1:13" x14ac:dyDescent="0.25">
      <c r="A15" s="16"/>
      <c r="B15" s="15" t="s">
        <v>23</v>
      </c>
      <c r="C15" s="15">
        <f>EXP(SQRT((C5^2-C6)*C9))</f>
        <v>1.151909910168909</v>
      </c>
      <c r="D15" s="16"/>
      <c r="E15" s="16"/>
      <c r="F15" s="16"/>
      <c r="G15" s="16"/>
      <c r="H15" s="16"/>
      <c r="I15" s="10">
        <f>+G13*$C$16</f>
        <v>37.681915822188238</v>
      </c>
      <c r="J15" s="16"/>
      <c r="K15" s="11"/>
      <c r="L15" s="16"/>
      <c r="M15" s="16"/>
    </row>
    <row r="16" spans="1:13" ht="12.4" thickBot="1" x14ac:dyDescent="0.3">
      <c r="A16" s="16"/>
      <c r="B16" s="15" t="s">
        <v>24</v>
      </c>
      <c r="C16" s="15">
        <f>1/C15</f>
        <v>0.86812344539458486</v>
      </c>
      <c r="D16" s="16"/>
      <c r="E16" s="16"/>
      <c r="F16" s="16"/>
      <c r="G16" s="16"/>
      <c r="H16" s="16"/>
      <c r="I16" s="13">
        <f>MAX(MIN((K14*$C$18+K18*$C$19+$G$22*$C$20)*$C$22,113),$C$13*I15)</f>
        <v>98.609828395939033</v>
      </c>
      <c r="J16" s="16"/>
      <c r="K16" s="11"/>
      <c r="L16" s="16"/>
      <c r="M16" s="16"/>
    </row>
    <row r="17" spans="1:13" x14ac:dyDescent="0.25">
      <c r="A17" s="16"/>
      <c r="B17" s="15" t="s">
        <v>25</v>
      </c>
      <c r="C17" s="15">
        <f>EXP(C7*C9)</f>
        <v>1.0125784515406344</v>
      </c>
      <c r="D17" s="16"/>
      <c r="E17" s="16"/>
      <c r="F17" s="16"/>
      <c r="G17" s="16"/>
      <c r="H17" s="16"/>
      <c r="I17" s="16"/>
      <c r="J17" s="16"/>
      <c r="K17" s="10">
        <f>+I15*$C$16</f>
        <v>32.712554592626773</v>
      </c>
      <c r="L17" s="16" t="s">
        <v>32</v>
      </c>
      <c r="M17" s="16"/>
    </row>
    <row r="18" spans="1:13" ht="12.4" thickBot="1" x14ac:dyDescent="0.3">
      <c r="A18" s="16"/>
      <c r="B18" s="15" t="s">
        <v>26</v>
      </c>
      <c r="C18" s="15">
        <f>+(C17-C16*EXP(-C6*C9))/(C15-C16)</f>
        <v>0.51666524775835954</v>
      </c>
      <c r="D18" s="16"/>
      <c r="E18" s="16"/>
      <c r="F18" s="16"/>
      <c r="G18" s="16"/>
      <c r="H18" s="16"/>
      <c r="I18" s="16"/>
      <c r="J18" s="16"/>
      <c r="K18" s="13">
        <f>+MAX($C$13*K17,C10)</f>
        <v>100</v>
      </c>
      <c r="L18" s="16" t="s">
        <v>34</v>
      </c>
      <c r="M18" s="16"/>
    </row>
    <row r="19" spans="1:13" x14ac:dyDescent="0.25">
      <c r="A19" s="16"/>
      <c r="B19" s="15" t="s">
        <v>27</v>
      </c>
      <c r="C19" s="15">
        <f>+(C15*EXP(-C6*C9)-C17)/(C15-C16)</f>
        <v>0.48083787463910072</v>
      </c>
      <c r="D19" s="16"/>
      <c r="E19" s="16"/>
      <c r="F19" s="16"/>
      <c r="G19" s="16"/>
      <c r="H19" s="16"/>
      <c r="I19" s="16"/>
      <c r="J19" s="16"/>
      <c r="L19" s="16"/>
      <c r="M19" s="16"/>
    </row>
    <row r="20" spans="1:13" ht="12.4" thickBot="1" x14ac:dyDescent="0.3">
      <c r="A20" s="16"/>
      <c r="B20" s="15" t="s">
        <v>28</v>
      </c>
      <c r="C20" s="15">
        <f>1-EXP(-C6*C9)</f>
        <v>2.4968776025399153E-3</v>
      </c>
      <c r="D20" s="16"/>
      <c r="E20" s="16"/>
      <c r="F20" s="16"/>
      <c r="G20" s="16" t="s">
        <v>31</v>
      </c>
      <c r="H20" s="16"/>
      <c r="I20" s="16" t="s">
        <v>31</v>
      </c>
      <c r="J20" s="16"/>
      <c r="K20" t="s">
        <v>31</v>
      </c>
      <c r="L20" s="16"/>
      <c r="M20" s="16"/>
    </row>
    <row r="21" spans="1:13" x14ac:dyDescent="0.25">
      <c r="A21" s="16"/>
      <c r="B21" s="15"/>
      <c r="C21" s="15">
        <f>SUM(C18:C20)</f>
        <v>1</v>
      </c>
      <c r="D21" s="16"/>
      <c r="E21" s="16"/>
      <c r="F21" s="16"/>
      <c r="G21" s="9">
        <f>+E19*$C$16</f>
        <v>0</v>
      </c>
      <c r="H21" s="16"/>
      <c r="I21" s="9">
        <f>+G19*$C$16</f>
        <v>0</v>
      </c>
      <c r="J21" s="16"/>
      <c r="K21" s="9">
        <f>+I19*$C$16</f>
        <v>0</v>
      </c>
      <c r="L21" s="16" t="s">
        <v>35</v>
      </c>
      <c r="M21" s="16"/>
    </row>
    <row r="22" spans="1:13" ht="12.4" thickBot="1" x14ac:dyDescent="0.3">
      <c r="A22" s="16"/>
      <c r="B22" s="15" t="s">
        <v>30</v>
      </c>
      <c r="C22" s="15">
        <f>EXP(-C7*C9)</f>
        <v>0.98757780049388144</v>
      </c>
      <c r="D22" s="16"/>
      <c r="E22" s="16"/>
      <c r="F22" s="16"/>
      <c r="G22" s="21">
        <f>+$C$12</f>
        <v>40</v>
      </c>
      <c r="H22" s="16"/>
      <c r="I22" s="21">
        <f>+$C$12</f>
        <v>40</v>
      </c>
      <c r="J22" s="16"/>
      <c r="K22" s="21">
        <f>+$C$12</f>
        <v>40</v>
      </c>
      <c r="L22" s="16" t="s">
        <v>36</v>
      </c>
      <c r="M22" s="16"/>
    </row>
    <row r="23" spans="1:13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</row>
    <row r="24" spans="1:13" x14ac:dyDescent="0.25">
      <c r="A24" s="16"/>
      <c r="B24" s="16" t="s">
        <v>39</v>
      </c>
      <c r="C24" s="11" cm="1">
        <f t="array" ref="C24">HULLCB(C4,C3,C2,C7,C6,0,C5,C10,C11,C12,C13)</f>
        <v>106.92862266134833</v>
      </c>
      <c r="D24" s="16"/>
      <c r="E24" s="16"/>
      <c r="F24" s="16"/>
      <c r="G24" s="16"/>
      <c r="H24" s="16"/>
      <c r="I24" s="16"/>
      <c r="J24" s="16"/>
      <c r="K24" s="16"/>
      <c r="L24" s="16"/>
      <c r="M24" s="16"/>
    </row>
    <row r="25" spans="1:13" x14ac:dyDescent="0.25">
      <c r="A25" s="16"/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7219C-DFEF-4BE4-8A19-1A8082EB8062}">
  <sheetPr codeName="Sheet4"/>
  <dimension ref="A1:D26"/>
  <sheetViews>
    <sheetView workbookViewId="0">
      <selection activeCell="I29" sqref="I29"/>
    </sheetView>
  </sheetViews>
  <sheetFormatPr defaultRowHeight="12" x14ac:dyDescent="0.25"/>
  <cols>
    <col min="1" max="1" width="2.7109375" customWidth="1"/>
    <col min="2" max="2" width="11.5703125" customWidth="1"/>
  </cols>
  <sheetData>
    <row r="1" spans="1:4" x14ac:dyDescent="0.25">
      <c r="A1" s="16"/>
      <c r="B1" s="14" t="s">
        <v>13</v>
      </c>
      <c r="C1" s="14"/>
      <c r="D1" s="16"/>
    </row>
    <row r="2" spans="1:4" x14ac:dyDescent="0.25">
      <c r="A2" s="16"/>
      <c r="B2" s="14" t="s">
        <v>14</v>
      </c>
      <c r="C2" s="14">
        <v>5</v>
      </c>
      <c r="D2" s="16"/>
    </row>
    <row r="3" spans="1:4" x14ac:dyDescent="0.25">
      <c r="A3" s="16"/>
      <c r="B3" s="14" t="s">
        <v>15</v>
      </c>
      <c r="C3" s="14">
        <v>130</v>
      </c>
      <c r="D3" s="16"/>
    </row>
    <row r="4" spans="1:4" x14ac:dyDescent="0.25">
      <c r="A4" s="16"/>
      <c r="B4" s="14" t="s">
        <v>16</v>
      </c>
      <c r="C4" s="14">
        <v>100</v>
      </c>
      <c r="D4" s="16"/>
    </row>
    <row r="5" spans="1:4" x14ac:dyDescent="0.25">
      <c r="A5" s="16"/>
      <c r="B5" s="14" t="s">
        <v>17</v>
      </c>
      <c r="C5" s="14">
        <v>0.4</v>
      </c>
      <c r="D5" s="16"/>
    </row>
    <row r="6" spans="1:4" x14ac:dyDescent="0.25">
      <c r="A6" s="16"/>
      <c r="B6" s="14" t="s">
        <v>18</v>
      </c>
      <c r="C6" s="14">
        <v>0.01</v>
      </c>
      <c r="D6" s="16"/>
    </row>
    <row r="7" spans="1:4" x14ac:dyDescent="0.25">
      <c r="A7" s="16"/>
      <c r="B7" s="14" t="s">
        <v>19</v>
      </c>
      <c r="C7" s="14">
        <v>0</v>
      </c>
      <c r="D7" s="16"/>
    </row>
    <row r="8" spans="1:4" x14ac:dyDescent="0.25">
      <c r="A8" s="16"/>
      <c r="B8" s="14" t="s">
        <v>41</v>
      </c>
      <c r="C8" s="14">
        <v>0</v>
      </c>
      <c r="D8" s="16"/>
    </row>
    <row r="9" spans="1:4" x14ac:dyDescent="0.25">
      <c r="A9" s="16"/>
      <c r="B9" s="14"/>
      <c r="C9" s="14"/>
      <c r="D9" s="16"/>
    </row>
    <row r="10" spans="1:4" x14ac:dyDescent="0.25">
      <c r="A10" s="16"/>
      <c r="B10" s="14" t="s">
        <v>37</v>
      </c>
      <c r="C10" s="14">
        <v>130</v>
      </c>
      <c r="D10" s="16"/>
    </row>
    <row r="11" spans="1:4" x14ac:dyDescent="0.25">
      <c r="A11" s="16"/>
      <c r="B11" s="14" t="s">
        <v>38</v>
      </c>
      <c r="C11" s="14">
        <v>100</v>
      </c>
      <c r="D11" s="16"/>
    </row>
    <row r="12" spans="1:4" x14ac:dyDescent="0.25">
      <c r="A12" s="16"/>
      <c r="B12" s="14" t="s">
        <v>20</v>
      </c>
      <c r="C12" s="14">
        <v>50</v>
      </c>
      <c r="D12" s="16"/>
    </row>
    <row r="13" spans="1:4" x14ac:dyDescent="0.25">
      <c r="A13" s="16"/>
      <c r="B13" s="14" t="s">
        <v>40</v>
      </c>
      <c r="C13" s="14">
        <v>1</v>
      </c>
      <c r="D13" s="16"/>
    </row>
    <row r="14" spans="1:4" x14ac:dyDescent="0.25">
      <c r="A14" s="16"/>
      <c r="B14" s="15" t="s">
        <v>22</v>
      </c>
      <c r="C14" s="15"/>
      <c r="D14" s="16"/>
    </row>
    <row r="15" spans="1:4" x14ac:dyDescent="0.25">
      <c r="A15" s="16"/>
      <c r="B15" s="15" t="s">
        <v>23</v>
      </c>
      <c r="C15" s="15">
        <f>EXP(SQRT((C5^2-C6)*C22))</f>
        <v>1.0904631784921235</v>
      </c>
      <c r="D15" s="16"/>
    </row>
    <row r="16" spans="1:4" x14ac:dyDescent="0.25">
      <c r="A16" s="16"/>
      <c r="B16" s="15" t="s">
        <v>24</v>
      </c>
      <c r="C16" s="15">
        <f>1/C15</f>
        <v>0.91704151017990843</v>
      </c>
      <c r="D16" s="16"/>
    </row>
    <row r="17" spans="1:4" x14ac:dyDescent="0.25">
      <c r="A17" s="16"/>
      <c r="B17" s="15" t="s">
        <v>25</v>
      </c>
      <c r="C17" s="15">
        <f>EXP(C7*C9)</f>
        <v>1</v>
      </c>
      <c r="D17" s="16"/>
    </row>
    <row r="18" spans="1:4" x14ac:dyDescent="0.25">
      <c r="A18" s="16"/>
      <c r="B18" s="15" t="s">
        <v>26</v>
      </c>
      <c r="C18" s="15">
        <f>+(C17-C16*EXP(-C6*C22))/(C15-C16)</f>
        <v>0.48100619014873058</v>
      </c>
      <c r="D18" s="16"/>
    </row>
    <row r="19" spans="1:4" x14ac:dyDescent="0.25">
      <c r="A19" s="16"/>
      <c r="B19" s="15" t="s">
        <v>27</v>
      </c>
      <c r="C19" s="15">
        <f>+(C15*EXP(-C6*C9)-C17)/(C15-C16)</f>
        <v>0.52163711358871556</v>
      </c>
      <c r="D19" s="16"/>
    </row>
    <row r="20" spans="1:4" x14ac:dyDescent="0.25">
      <c r="A20" s="16"/>
      <c r="B20" s="15" t="s">
        <v>28</v>
      </c>
      <c r="C20" s="15">
        <f>1-EXP(-C6*C9)</f>
        <v>0</v>
      </c>
      <c r="D20" s="16"/>
    </row>
    <row r="21" spans="1:4" x14ac:dyDescent="0.25">
      <c r="A21" s="16"/>
      <c r="B21" s="15"/>
      <c r="C21" s="15">
        <f>SUM(C18:C20)</f>
        <v>1.0026433037374463</v>
      </c>
      <c r="D21" s="16"/>
    </row>
    <row r="22" spans="1:4" x14ac:dyDescent="0.25">
      <c r="A22" s="16"/>
      <c r="B22" s="15" t="s">
        <v>42</v>
      </c>
      <c r="C22" s="15">
        <f>+C2/C11</f>
        <v>0.05</v>
      </c>
      <c r="D22" s="16"/>
    </row>
    <row r="23" spans="1:4" x14ac:dyDescent="0.25">
      <c r="A23" s="16"/>
      <c r="B23" s="15" t="s">
        <v>30</v>
      </c>
      <c r="C23" s="15">
        <f>EXP(-C7*C9)</f>
        <v>1</v>
      </c>
      <c r="D23" s="16"/>
    </row>
    <row r="24" spans="1:4" x14ac:dyDescent="0.25">
      <c r="A24" s="16"/>
      <c r="B24" s="16"/>
      <c r="C24" s="16"/>
      <c r="D24" s="16"/>
    </row>
    <row r="25" spans="1:4" x14ac:dyDescent="0.25">
      <c r="A25" s="16"/>
      <c r="B25" s="16" t="s">
        <v>39</v>
      </c>
      <c r="C25" s="11" cm="1">
        <f t="array" ref="C25">HULLCB(C4,C3,C2,C7,C6,C8,C5,C10,C11,C12,C13)</f>
        <v>128.17382765950239</v>
      </c>
      <c r="D25" s="16"/>
    </row>
    <row r="26" spans="1:4" x14ac:dyDescent="0.25">
      <c r="A26" s="16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337D-FDF1-4C2F-86DE-7F09B00706AA}">
  <sheetPr codeName="Sheet6"/>
  <dimension ref="B2:F7"/>
  <sheetViews>
    <sheetView zoomScaleNormal="100" workbookViewId="0">
      <selection activeCell="B2" sqref="B2:F7"/>
    </sheetView>
  </sheetViews>
  <sheetFormatPr defaultRowHeight="12" x14ac:dyDescent="0.25"/>
  <cols>
    <col min="3" max="3" width="17.5703125" customWidth="1"/>
    <col min="4" max="4" width="18.2109375" customWidth="1"/>
    <col min="5" max="5" width="19.28515625" customWidth="1"/>
    <col min="6" max="6" width="18.2109375" customWidth="1"/>
  </cols>
  <sheetData>
    <row r="2" spans="2:6" ht="28.5" x14ac:dyDescent="0.25">
      <c r="B2" s="37" t="s">
        <v>47</v>
      </c>
      <c r="C2" s="37" t="s">
        <v>48</v>
      </c>
      <c r="D2" s="37" t="s">
        <v>49</v>
      </c>
      <c r="E2" s="37" t="s">
        <v>50</v>
      </c>
      <c r="F2" s="37" t="s">
        <v>51</v>
      </c>
    </row>
    <row r="3" spans="2:6" ht="15" x14ac:dyDescent="0.25">
      <c r="B3" s="36">
        <v>1</v>
      </c>
      <c r="C3" s="30">
        <v>100</v>
      </c>
      <c r="D3" s="30">
        <v>2</v>
      </c>
      <c r="E3" s="32">
        <v>0.02</v>
      </c>
      <c r="F3" s="32">
        <v>0.02</v>
      </c>
    </row>
    <row r="4" spans="2:6" ht="15" x14ac:dyDescent="0.25">
      <c r="B4" s="36">
        <v>2</v>
      </c>
      <c r="C4" s="31">
        <v>98</v>
      </c>
      <c r="D4" s="31">
        <v>3</v>
      </c>
      <c r="E4" s="33">
        <v>3.0612E-2</v>
      </c>
      <c r="F4" s="33">
        <v>0.05</v>
      </c>
    </row>
    <row r="5" spans="2:6" ht="15" x14ac:dyDescent="0.25">
      <c r="B5" s="36">
        <v>3</v>
      </c>
      <c r="C5" s="30">
        <v>95</v>
      </c>
      <c r="D5" s="30">
        <v>4</v>
      </c>
      <c r="E5" s="32">
        <v>4.2104999999999997E-2</v>
      </c>
      <c r="F5" s="32">
        <v>0.09</v>
      </c>
    </row>
    <row r="6" spans="2:6" ht="15" x14ac:dyDescent="0.25">
      <c r="B6" s="36">
        <v>4</v>
      </c>
      <c r="C6" s="31">
        <v>91</v>
      </c>
      <c r="D6" s="31">
        <v>5</v>
      </c>
      <c r="E6" s="33">
        <v>5.4945000000000001E-2</v>
      </c>
      <c r="F6" s="33">
        <v>0.14000000000000001</v>
      </c>
    </row>
    <row r="7" spans="2:6" ht="15" x14ac:dyDescent="0.25">
      <c r="B7" s="36">
        <v>5</v>
      </c>
      <c r="C7" s="34">
        <v>86</v>
      </c>
      <c r="D7" s="34">
        <v>6</v>
      </c>
      <c r="E7" s="35">
        <v>6.9766999999999996E-2</v>
      </c>
      <c r="F7" s="35">
        <v>0.2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9C9CE-2E91-4C48-AEDA-FFFAE69BCC14}">
  <sheetPr codeName="Sheet7"/>
  <dimension ref="B3:D5"/>
  <sheetViews>
    <sheetView tabSelected="1" workbookViewId="0">
      <selection activeCell="B3" sqref="B3:D5"/>
    </sheetView>
  </sheetViews>
  <sheetFormatPr defaultRowHeight="12" x14ac:dyDescent="0.25"/>
  <sheetData>
    <row r="3" spans="2:4" x14ac:dyDescent="0.25">
      <c r="C3" t="s">
        <v>52</v>
      </c>
      <c r="D3" t="s">
        <v>53</v>
      </c>
    </row>
    <row r="4" spans="2:4" x14ac:dyDescent="0.25">
      <c r="B4" t="s">
        <v>52</v>
      </c>
      <c r="C4">
        <v>99.06</v>
      </c>
      <c r="D4">
        <v>3.23</v>
      </c>
    </row>
    <row r="5" spans="2:4" x14ac:dyDescent="0.25">
      <c r="B5" t="s">
        <v>53</v>
      </c>
      <c r="C5">
        <v>1.08</v>
      </c>
      <c r="D5">
        <v>93.88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ゼロレート</vt:lpstr>
      <vt:lpstr>債券の価格付け</vt:lpstr>
      <vt:lpstr>トレジャリーゼロレート</vt:lpstr>
      <vt:lpstr>転換社債HULL Model</vt:lpstr>
      <vt:lpstr>転換社債 Hull model 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森谷博之</cp:lastModifiedBy>
  <dcterms:created xsi:type="dcterms:W3CDTF">2022-10-16T16:48:07Z</dcterms:created>
  <dcterms:modified xsi:type="dcterms:W3CDTF">2024-03-13T07:28:46Z</dcterms:modified>
</cp:coreProperties>
</file>