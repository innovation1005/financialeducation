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409_option_american\"/>
    </mc:Choice>
  </mc:AlternateContent>
  <xr:revisionPtr revIDLastSave="0" documentId="13_ncr:1_{7F0F2B31-B0E6-453B-9A83-C30DF1CFAEF2}" xr6:coauthVersionLast="46" xr6:coauthVersionMax="46" xr10:uidLastSave="{00000000-0000-0000-0000-000000000000}"/>
  <bookViews>
    <workbookView xWindow="-120" yWindow="-120" windowWidth="29040" windowHeight="15840" activeTab="3" xr2:uid="{4D0F57CD-F91C-464F-ADC5-03F515491BE4}"/>
  </bookViews>
  <sheets>
    <sheet name="bscall" sheetId="2" r:id="rId1"/>
    <sheet name="bnmcall" sheetId="1" r:id="rId2"/>
    <sheet name="bnm2call" sheetId="5" r:id="rId3"/>
    <sheet name="bnmamrcall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  <c r="C7" i="6" s="1"/>
  <c r="D7" i="6" s="1"/>
  <c r="E7" i="6" s="1"/>
  <c r="F7" i="6" s="1"/>
  <c r="B6" i="6"/>
  <c r="C6" i="6" s="1"/>
  <c r="D6" i="6" s="1"/>
  <c r="E6" i="6" s="1"/>
  <c r="F6" i="6" s="1"/>
  <c r="B5" i="6"/>
  <c r="C5" i="6" s="1"/>
  <c r="D5" i="6" s="1"/>
  <c r="E5" i="6" s="1"/>
  <c r="F5" i="6" s="1"/>
  <c r="B4" i="6"/>
  <c r="C4" i="6" s="1"/>
  <c r="D4" i="6" s="1"/>
  <c r="E4" i="6" s="1"/>
  <c r="F4" i="6" s="1"/>
  <c r="B3" i="6"/>
  <c r="C3" i="6" s="1"/>
  <c r="D3" i="6" s="1"/>
  <c r="E3" i="6" s="1"/>
  <c r="F3" i="6" s="1"/>
  <c r="B2" i="6"/>
  <c r="C2" i="6" s="1"/>
  <c r="D2" i="6" s="1"/>
  <c r="E2" i="6" s="1"/>
  <c r="F2" i="6" s="1"/>
  <c r="F7" i="5"/>
  <c r="F6" i="5"/>
  <c r="F5" i="5"/>
  <c r="F4" i="5"/>
  <c r="F3" i="5"/>
  <c r="F2" i="5"/>
  <c r="C7" i="5"/>
  <c r="D7" i="5" s="1"/>
  <c r="E7" i="5" s="1"/>
  <c r="B7" i="5"/>
  <c r="B6" i="5"/>
  <c r="C6" i="5" s="1"/>
  <c r="D6" i="5" s="1"/>
  <c r="E6" i="5" s="1"/>
  <c r="B5" i="5"/>
  <c r="C5" i="5" s="1"/>
  <c r="D5" i="5" s="1"/>
  <c r="E5" i="5" s="1"/>
  <c r="C4" i="5"/>
  <c r="D4" i="5" s="1"/>
  <c r="E4" i="5" s="1"/>
  <c r="B4" i="5"/>
  <c r="B3" i="5"/>
  <c r="C3" i="5" s="1"/>
  <c r="D3" i="5" s="1"/>
  <c r="E3" i="5" s="1"/>
  <c r="B2" i="5"/>
  <c r="C2" i="5" s="1"/>
  <c r="D2" i="5" s="1"/>
  <c r="E2" i="5" s="1"/>
  <c r="B7" i="1"/>
  <c r="B6" i="1"/>
  <c r="B5" i="1"/>
  <c r="B4" i="1"/>
  <c r="B3" i="1"/>
  <c r="C3" i="1" s="1"/>
  <c r="D3" i="1" s="1"/>
  <c r="E3" i="1" s="1"/>
  <c r="B2" i="1"/>
  <c r="C2" i="1" s="1"/>
  <c r="D2" i="1" s="1"/>
  <c r="E2" i="1" s="1"/>
  <c r="C7" i="1"/>
  <c r="D7" i="1" s="1"/>
  <c r="E7" i="1" s="1"/>
  <c r="C6" i="1"/>
  <c r="D6" i="1" s="1"/>
  <c r="E6" i="1" s="1"/>
  <c r="C5" i="1"/>
  <c r="D5" i="1" s="1"/>
  <c r="E5" i="1" s="1"/>
  <c r="C4" i="1"/>
  <c r="D4" i="1" s="1"/>
  <c r="E4" i="1" s="1"/>
  <c r="C9" i="5" a="1"/>
  <c r="B9" i="5" a="1"/>
  <c r="D9" i="1" a="1"/>
  <c r="E9" i="1" a="1"/>
  <c r="C9" i="1" a="1"/>
  <c r="B9" i="6" a="1"/>
  <c r="E9" i="6" a="1"/>
  <c r="D9" i="6" a="1"/>
  <c r="C9" i="6" a="1"/>
  <c r="E9" i="5" a="1"/>
  <c r="D9" i="5" a="1"/>
  <c r="C9" i="6" l="1"/>
  <c r="D9" i="6"/>
  <c r="E9" i="6"/>
  <c r="B9" i="6"/>
  <c r="C9" i="5"/>
  <c r="D9" i="5"/>
  <c r="E9" i="5"/>
  <c r="B9" i="5"/>
  <c r="C9" i="1"/>
  <c r="E9" i="1"/>
  <c r="D9" i="1"/>
  <c r="B7" i="2" a="1"/>
  <c r="B9" i="1" a="1"/>
  <c r="B9" i="1" l="1"/>
  <c r="B7" i="2"/>
  <c r="B10" i="6" s="1"/>
  <c r="B10" i="1" l="1"/>
  <c r="B1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<sst xmlns="http://schemas.openxmlformats.org/spreadsheetml/2006/main" count="34" uniqueCount="10">
  <si>
    <t>k</t>
    <phoneticPr fontId="1"/>
  </si>
  <si>
    <t>t</t>
    <phoneticPr fontId="1"/>
  </si>
  <si>
    <t>BSCALL</t>
    <phoneticPr fontId="1"/>
  </si>
  <si>
    <t>s</t>
    <phoneticPr fontId="1"/>
  </si>
  <si>
    <t>r</t>
    <phoneticPr fontId="1"/>
  </si>
  <si>
    <t>b</t>
    <phoneticPr fontId="1"/>
  </si>
  <si>
    <t>v</t>
    <phoneticPr fontId="1"/>
  </si>
  <si>
    <t>n</t>
    <phoneticPr fontId="1"/>
  </si>
  <si>
    <t>二項ツリーオプションモデル</t>
    <rPh sb="0" eb="2">
      <t>ニコウ</t>
    </rPh>
    <phoneticPr fontId="1"/>
  </si>
  <si>
    <t>解析解</t>
    <rPh sb="0" eb="3">
      <t>カイセキカイ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</si>
</sst>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D2FDF-6819-4190-B7FD-D23632E0CA25}">
  <sheetPr codeName="Sheet2"/>
  <dimension ref="A1:B7"/>
  <sheetViews>
    <sheetView workbookViewId="0">
      <selection sqref="A1:B6"/>
    </sheetView>
  </sheetViews>
  <sheetFormatPr defaultRowHeight="12" x14ac:dyDescent="0.15"/>
  <sheetData>
    <row r="1" spans="1:2" x14ac:dyDescent="0.15">
      <c r="A1" t="s">
        <v>3</v>
      </c>
      <c r="B1">
        <v>100</v>
      </c>
    </row>
    <row r="2" spans="1:2" x14ac:dyDescent="0.15">
      <c r="A2" t="s">
        <v>0</v>
      </c>
      <c r="B2">
        <v>105</v>
      </c>
    </row>
    <row r="3" spans="1:2" x14ac:dyDescent="0.15">
      <c r="A3" t="s">
        <v>1</v>
      </c>
      <c r="B3">
        <v>0.5</v>
      </c>
    </row>
    <row r="4" spans="1:2" x14ac:dyDescent="0.15">
      <c r="A4" t="s">
        <v>4</v>
      </c>
      <c r="B4">
        <v>0.08</v>
      </c>
    </row>
    <row r="5" spans="1:2" x14ac:dyDescent="0.15">
      <c r="A5" t="s">
        <v>5</v>
      </c>
      <c r="B5">
        <v>0.08</v>
      </c>
    </row>
    <row r="6" spans="1:2" x14ac:dyDescent="0.15">
      <c r="A6" t="s">
        <v>6</v>
      </c>
      <c r="B6">
        <v>0.3</v>
      </c>
    </row>
    <row r="7" spans="1:2" x14ac:dyDescent="0.15">
      <c r="A7" t="s">
        <v>2</v>
      </c>
      <c r="B7" cm="1">
        <f t="array" ref="B7">bscall(B1,B2,B3,B4,B5,B6)</f>
        <v>8.0501016057820678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7A2A7-318B-4373-8554-8B52F496E741}">
  <sheetPr codeName="Sheet1"/>
  <dimension ref="A1:E10"/>
  <sheetViews>
    <sheetView workbookViewId="0">
      <selection activeCell="E39" sqref="E39"/>
    </sheetView>
  </sheetViews>
  <sheetFormatPr defaultRowHeight="12" x14ac:dyDescent="0.15"/>
  <sheetData>
    <row r="1" spans="1:5" x14ac:dyDescent="0.15">
      <c r="A1" t="s">
        <v>8</v>
      </c>
    </row>
    <row r="2" spans="1:5" x14ac:dyDescent="0.15">
      <c r="A2" t="s">
        <v>3</v>
      </c>
      <c r="B2">
        <f>+bscall!B1</f>
        <v>100</v>
      </c>
      <c r="C2">
        <f>+B2</f>
        <v>100</v>
      </c>
      <c r="D2">
        <f t="shared" ref="D2:E2" si="0">+C2</f>
        <v>100</v>
      </c>
      <c r="E2">
        <f t="shared" si="0"/>
        <v>100</v>
      </c>
    </row>
    <row r="3" spans="1:5" x14ac:dyDescent="0.15">
      <c r="A3" t="s">
        <v>0</v>
      </c>
      <c r="B3">
        <f>+bscall!B2</f>
        <v>105</v>
      </c>
      <c r="C3">
        <f t="shared" ref="C3:E7" si="1">+B3</f>
        <v>105</v>
      </c>
      <c r="D3">
        <f t="shared" si="1"/>
        <v>105</v>
      </c>
      <c r="E3">
        <f t="shared" si="1"/>
        <v>105</v>
      </c>
    </row>
    <row r="4" spans="1:5" x14ac:dyDescent="0.15">
      <c r="A4" t="s">
        <v>1</v>
      </c>
      <c r="B4">
        <f>+bscall!B3</f>
        <v>0.5</v>
      </c>
      <c r="C4">
        <f t="shared" si="1"/>
        <v>0.5</v>
      </c>
      <c r="D4">
        <f t="shared" si="1"/>
        <v>0.5</v>
      </c>
      <c r="E4">
        <f t="shared" si="1"/>
        <v>0.5</v>
      </c>
    </row>
    <row r="5" spans="1:5" x14ac:dyDescent="0.15">
      <c r="A5" t="s">
        <v>4</v>
      </c>
      <c r="B5">
        <f>+bscall!B4</f>
        <v>0.08</v>
      </c>
      <c r="C5">
        <f t="shared" si="1"/>
        <v>0.08</v>
      </c>
      <c r="D5">
        <f t="shared" si="1"/>
        <v>0.08</v>
      </c>
      <c r="E5">
        <f t="shared" si="1"/>
        <v>0.08</v>
      </c>
    </row>
    <row r="6" spans="1:5" x14ac:dyDescent="0.15">
      <c r="A6" t="s">
        <v>5</v>
      </c>
      <c r="B6">
        <f>+bscall!B5</f>
        <v>0.08</v>
      </c>
      <c r="C6">
        <f t="shared" si="1"/>
        <v>0.08</v>
      </c>
      <c r="D6">
        <f t="shared" si="1"/>
        <v>0.08</v>
      </c>
      <c r="E6">
        <f t="shared" si="1"/>
        <v>0.08</v>
      </c>
    </row>
    <row r="7" spans="1:5" x14ac:dyDescent="0.15">
      <c r="A7" t="s">
        <v>6</v>
      </c>
      <c r="B7">
        <f>+bscall!B6</f>
        <v>0.3</v>
      </c>
      <c r="C7">
        <f t="shared" si="1"/>
        <v>0.3</v>
      </c>
      <c r="D7">
        <f t="shared" si="1"/>
        <v>0.3</v>
      </c>
      <c r="E7">
        <f t="shared" si="1"/>
        <v>0.3</v>
      </c>
    </row>
    <row r="8" spans="1:5" x14ac:dyDescent="0.15">
      <c r="A8" t="s">
        <v>7</v>
      </c>
      <c r="B8">
        <v>5</v>
      </c>
      <c r="C8">
        <v>10</v>
      </c>
      <c r="D8">
        <v>100</v>
      </c>
      <c r="E8">
        <v>1000</v>
      </c>
    </row>
    <row r="9" spans="1:5" x14ac:dyDescent="0.15">
      <c r="B9" cm="1">
        <f t="array" ref="B9">bnmcall(B2,B3,B4,B5,B6,B7,B8)</f>
        <v>8.2145069751755848</v>
      </c>
      <c r="C9" cm="1">
        <f t="array" ref="C9">bnmcall(C2,C3,C4,C5,C6,C7,C8)</f>
        <v>8.2130754685380953</v>
      </c>
      <c r="D9" cm="1">
        <f t="array" ref="D9">bnmcall(D2,D3,D4,D5,D6,D7,D8)</f>
        <v>8.0486684259339469</v>
      </c>
      <c r="E9" cm="1">
        <f t="array" ref="E9">bnmcall(E2,E3,E4,E5,E6,E7,E8)</f>
        <v>8.0517175909195569</v>
      </c>
    </row>
    <row r="10" spans="1:5" x14ac:dyDescent="0.15">
      <c r="A10" t="s">
        <v>9</v>
      </c>
      <c r="B10">
        <f>+bscall!B7</f>
        <v>8.0501016057820678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7CB1-1AE7-41FD-A80E-8EEA1EDA55B1}">
  <sheetPr codeName="Sheet4"/>
  <dimension ref="A1:F10"/>
  <sheetViews>
    <sheetView workbookViewId="0">
      <selection activeCell="B9" sqref="B9"/>
    </sheetView>
  </sheetViews>
  <sheetFormatPr defaultRowHeight="12" x14ac:dyDescent="0.15"/>
  <sheetData>
    <row r="1" spans="1:6" x14ac:dyDescent="0.15">
      <c r="A1" t="s">
        <v>8</v>
      </c>
    </row>
    <row r="2" spans="1:6" x14ac:dyDescent="0.15">
      <c r="A2" t="s">
        <v>3</v>
      </c>
      <c r="B2">
        <f>+bscall!B1</f>
        <v>100</v>
      </c>
      <c r="C2">
        <f>+B2</f>
        <v>100</v>
      </c>
      <c r="D2">
        <f t="shared" ref="D2:E2" si="0">+C2</f>
        <v>100</v>
      </c>
      <c r="E2">
        <f t="shared" si="0"/>
        <v>100</v>
      </c>
      <c r="F2">
        <f t="shared" ref="F2" si="1">+E2</f>
        <v>100</v>
      </c>
    </row>
    <row r="3" spans="1:6" x14ac:dyDescent="0.15">
      <c r="A3" t="s">
        <v>0</v>
      </c>
      <c r="B3">
        <f>+bscall!B2</f>
        <v>105</v>
      </c>
      <c r="C3">
        <f t="shared" ref="C3:E7" si="2">+B3</f>
        <v>105</v>
      </c>
      <c r="D3">
        <f t="shared" si="2"/>
        <v>105</v>
      </c>
      <c r="E3">
        <f t="shared" si="2"/>
        <v>105</v>
      </c>
      <c r="F3">
        <f t="shared" ref="F3" si="3">+E3</f>
        <v>105</v>
      </c>
    </row>
    <row r="4" spans="1:6" x14ac:dyDescent="0.15">
      <c r="A4" t="s">
        <v>1</v>
      </c>
      <c r="B4">
        <f>+bscall!B3</f>
        <v>0.5</v>
      </c>
      <c r="C4">
        <f t="shared" si="2"/>
        <v>0.5</v>
      </c>
      <c r="D4">
        <f t="shared" si="2"/>
        <v>0.5</v>
      </c>
      <c r="E4">
        <f t="shared" si="2"/>
        <v>0.5</v>
      </c>
      <c r="F4">
        <f t="shared" ref="F4" si="4">+E4</f>
        <v>0.5</v>
      </c>
    </row>
    <row r="5" spans="1:6" x14ac:dyDescent="0.15">
      <c r="A5" t="s">
        <v>4</v>
      </c>
      <c r="B5">
        <f>+bscall!B4</f>
        <v>0.08</v>
      </c>
      <c r="C5">
        <f t="shared" si="2"/>
        <v>0.08</v>
      </c>
      <c r="D5">
        <f t="shared" si="2"/>
        <v>0.08</v>
      </c>
      <c r="E5">
        <f t="shared" si="2"/>
        <v>0.08</v>
      </c>
      <c r="F5">
        <f t="shared" ref="F5" si="5">+E5</f>
        <v>0.08</v>
      </c>
    </row>
    <row r="6" spans="1:6" x14ac:dyDescent="0.15">
      <c r="A6" t="s">
        <v>5</v>
      </c>
      <c r="B6">
        <f>+bscall!B5</f>
        <v>0.08</v>
      </c>
      <c r="C6">
        <f t="shared" si="2"/>
        <v>0.08</v>
      </c>
      <c r="D6">
        <f t="shared" si="2"/>
        <v>0.08</v>
      </c>
      <c r="E6">
        <f t="shared" si="2"/>
        <v>0.08</v>
      </c>
      <c r="F6">
        <f t="shared" ref="F6" si="6">+E6</f>
        <v>0.08</v>
      </c>
    </row>
    <row r="7" spans="1:6" x14ac:dyDescent="0.15">
      <c r="A7" t="s">
        <v>6</v>
      </c>
      <c r="B7">
        <f>+bscall!B6</f>
        <v>0.3</v>
      </c>
      <c r="C7">
        <f t="shared" si="2"/>
        <v>0.3</v>
      </c>
      <c r="D7">
        <f t="shared" si="2"/>
        <v>0.3</v>
      </c>
      <c r="E7">
        <f t="shared" si="2"/>
        <v>0.3</v>
      </c>
      <c r="F7">
        <f t="shared" ref="F7" si="7">+E7</f>
        <v>0.3</v>
      </c>
    </row>
    <row r="8" spans="1:6" x14ac:dyDescent="0.15">
      <c r="A8" t="s">
        <v>7</v>
      </c>
      <c r="B8">
        <v>5</v>
      </c>
      <c r="C8">
        <v>10</v>
      </c>
      <c r="D8">
        <v>100</v>
      </c>
      <c r="E8">
        <v>1000</v>
      </c>
      <c r="F8">
        <v>10000</v>
      </c>
    </row>
    <row r="9" spans="1:6" x14ac:dyDescent="0.15">
      <c r="B9" cm="1">
        <f t="array" ref="B9">bnm2call(B2,B3,B4,B5,B6,B7,B8)</f>
        <v>8.2145069751755866</v>
      </c>
      <c r="C9" cm="1">
        <f t="array" ref="C9">bnm2call(C2,C3,C4,C5,C6,C7,C8)</f>
        <v>8.2130754685380971</v>
      </c>
      <c r="D9" cm="1">
        <f t="array" ref="D9">bnm2call(D2,D3,D4,D5,D6,D7,D8)</f>
        <v>8.0486684259339647</v>
      </c>
      <c r="E9" cm="1">
        <f t="array" ref="E9">bnm2call(E2,E3,E4,E5,E6,E7,E8)</f>
        <v>8.0517175909198357</v>
      </c>
    </row>
    <row r="10" spans="1:6" x14ac:dyDescent="0.15">
      <c r="A10" t="s">
        <v>9</v>
      </c>
      <c r="B10">
        <f>+bscall!B7</f>
        <v>8.0501016057820678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65CB1-C4C5-4042-91F1-B1EF85B261D4}">
  <sheetPr codeName="Sheet5"/>
  <dimension ref="A1:F10"/>
  <sheetViews>
    <sheetView tabSelected="1" workbookViewId="0">
      <selection activeCell="F9" sqref="F9"/>
    </sheetView>
  </sheetViews>
  <sheetFormatPr defaultRowHeight="12" x14ac:dyDescent="0.15"/>
  <sheetData>
    <row r="1" spans="1:6" x14ac:dyDescent="0.15">
      <c r="A1" t="s">
        <v>8</v>
      </c>
    </row>
    <row r="2" spans="1:6" x14ac:dyDescent="0.15">
      <c r="A2" t="s">
        <v>3</v>
      </c>
      <c r="B2">
        <f>+bscall!B1</f>
        <v>100</v>
      </c>
      <c r="C2">
        <f>+B2</f>
        <v>100</v>
      </c>
      <c r="D2">
        <f t="shared" ref="D2:F7" si="0">+C2</f>
        <v>100</v>
      </c>
      <c r="E2">
        <f t="shared" si="0"/>
        <v>100</v>
      </c>
      <c r="F2">
        <f t="shared" si="0"/>
        <v>100</v>
      </c>
    </row>
    <row r="3" spans="1:6" x14ac:dyDescent="0.15">
      <c r="A3" t="s">
        <v>0</v>
      </c>
      <c r="B3">
        <f>+bscall!B2</f>
        <v>105</v>
      </c>
      <c r="C3">
        <f t="shared" ref="C3:E7" si="1">+B3</f>
        <v>105</v>
      </c>
      <c r="D3">
        <f t="shared" si="1"/>
        <v>105</v>
      </c>
      <c r="E3">
        <f t="shared" si="1"/>
        <v>105</v>
      </c>
      <c r="F3">
        <f t="shared" si="0"/>
        <v>105</v>
      </c>
    </row>
    <row r="4" spans="1:6" x14ac:dyDescent="0.15">
      <c r="A4" t="s">
        <v>1</v>
      </c>
      <c r="B4">
        <f>+bscall!B3</f>
        <v>0.5</v>
      </c>
      <c r="C4">
        <f t="shared" si="1"/>
        <v>0.5</v>
      </c>
      <c r="D4">
        <f t="shared" si="1"/>
        <v>0.5</v>
      </c>
      <c r="E4">
        <f t="shared" si="1"/>
        <v>0.5</v>
      </c>
      <c r="F4">
        <f t="shared" si="0"/>
        <v>0.5</v>
      </c>
    </row>
    <row r="5" spans="1:6" x14ac:dyDescent="0.15">
      <c r="A5" t="s">
        <v>4</v>
      </c>
      <c r="B5">
        <f>+bscall!B4</f>
        <v>0.08</v>
      </c>
      <c r="C5">
        <f t="shared" si="1"/>
        <v>0.08</v>
      </c>
      <c r="D5">
        <f t="shared" si="1"/>
        <v>0.08</v>
      </c>
      <c r="E5">
        <f t="shared" si="1"/>
        <v>0.08</v>
      </c>
      <c r="F5">
        <f t="shared" si="0"/>
        <v>0.08</v>
      </c>
    </row>
    <row r="6" spans="1:6" x14ac:dyDescent="0.15">
      <c r="A6" t="s">
        <v>5</v>
      </c>
      <c r="B6">
        <f>+bscall!B5</f>
        <v>0.08</v>
      </c>
      <c r="C6">
        <f t="shared" si="1"/>
        <v>0.08</v>
      </c>
      <c r="D6">
        <f t="shared" si="1"/>
        <v>0.08</v>
      </c>
      <c r="E6">
        <f t="shared" si="1"/>
        <v>0.08</v>
      </c>
      <c r="F6">
        <f t="shared" si="0"/>
        <v>0.08</v>
      </c>
    </row>
    <row r="7" spans="1:6" x14ac:dyDescent="0.15">
      <c r="A7" t="s">
        <v>6</v>
      </c>
      <c r="B7">
        <f>+bscall!B6</f>
        <v>0.3</v>
      </c>
      <c r="C7">
        <f t="shared" si="1"/>
        <v>0.3</v>
      </c>
      <c r="D7">
        <f t="shared" si="1"/>
        <v>0.3</v>
      </c>
      <c r="E7">
        <f t="shared" si="1"/>
        <v>0.3</v>
      </c>
      <c r="F7">
        <f t="shared" si="0"/>
        <v>0.3</v>
      </c>
    </row>
    <row r="8" spans="1:6" x14ac:dyDescent="0.15">
      <c r="A8" t="s">
        <v>7</v>
      </c>
      <c r="B8">
        <v>5</v>
      </c>
      <c r="C8">
        <v>10</v>
      </c>
      <c r="D8">
        <v>100</v>
      </c>
      <c r="E8">
        <v>1000</v>
      </c>
      <c r="F8">
        <v>10000</v>
      </c>
    </row>
    <row r="9" spans="1:6" x14ac:dyDescent="0.15">
      <c r="B9" cm="1">
        <f t="array" ref="B9">bnmamrcall(B2,B3,B4,B5,B6,B7,B8)</f>
        <v>8.2145069751755866</v>
      </c>
      <c r="C9" cm="1">
        <f t="array" ref="C9">bnmamrcall(C2,C3,C4,C5,C6,C7,C8)</f>
        <v>8.2130754685380971</v>
      </c>
      <c r="D9" cm="1">
        <f t="array" ref="D9">bnmamrcall(D2,D3,D4,D5,D6,D7,D8)</f>
        <v>8.0486684259339647</v>
      </c>
      <c r="E9" cm="1">
        <f t="array" ref="E9">bnmamrcall(E2,E3,E4,E5,E6,E7,E8)</f>
        <v>8.0517175909198357</v>
      </c>
    </row>
    <row r="10" spans="1:6" x14ac:dyDescent="0.15">
      <c r="A10" t="s">
        <v>9</v>
      </c>
      <c r="B10">
        <f>+bscall!B7</f>
        <v>8.0501016057820678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bscall</vt:lpstr>
      <vt:lpstr>bnmcall</vt:lpstr>
      <vt:lpstr>bnm2call</vt:lpstr>
      <vt:lpstr>bnmamrcall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2021-04-05T15:40:53Z</dcterms:created>
  <dcterms:modified xsi:type="dcterms:W3CDTF">2021-04-09T01:16:47Z</dcterms:modified>
</cp:coreProperties>
</file>